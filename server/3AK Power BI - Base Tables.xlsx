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3akchemie2022-my.sharepoint.com/personal/ankit_3akchemie_com/Documents/Ankit/ankit@3akchemie.com/"/>
    </mc:Choice>
  </mc:AlternateContent>
  <xr:revisionPtr revIDLastSave="0" documentId="8_{93594A84-C2E8-463A-BCD8-2EDD66EDDD20}" xr6:coauthVersionLast="47" xr6:coauthVersionMax="47" xr10:uidLastSave="{00000000-0000-0000-0000-000000000000}"/>
  <bookViews>
    <workbookView xWindow="240" yWindow="740" windowWidth="25900" windowHeight="13780" firstSheet="4" activeTab="4" xr2:uid="{00000000-000D-0000-FFFF-FFFF00000000}"/>
  </bookViews>
  <sheets>
    <sheet name="Item Master Ref" sheetId="8" r:id="rId1"/>
    <sheet name="Indian State Categorisation" sheetId="4" r:id="rId2"/>
    <sheet name="FG Product Categorisation" sheetId="6" r:id="rId3"/>
    <sheet name="Quickbooks DataClean" sheetId="11" r:id="rId4"/>
    <sheet name="Product Categories for FG" sheetId="7" r:id="rId5"/>
    <sheet name="Sheet1" sheetId="14" r:id="rId6"/>
    <sheet name="Royalty" sheetId="12" r:id="rId7"/>
    <sheet name="Total ERP Item Dump" sheetId="10" r:id="rId8"/>
    <sheet name="Group Company List" sheetId="13" r:id="rId9"/>
  </sheets>
  <definedNames>
    <definedName name="_xlnm._FilterDatabase" localSheetId="2" hidden="1">'FG Product Categorisation'!$A$1:$F$233</definedName>
    <definedName name="_xlnm._FilterDatabase" localSheetId="0" hidden="1">'Item Master Ref'!$A$1:$C$253</definedName>
    <definedName name="_xlnm._FilterDatabase" localSheetId="7" hidden="1">'Total ERP Item Dump'!$A$1:$C$269</definedName>
    <definedName name="_xlnm._FilterDatabase" localSheetId="6" hidden="1">Royalty!$A$2:$G$2</definedName>
    <definedName name="_xlnm._FilterDatabase" localSheetId="4" hidden="1">'Product Categories for FG'!$A$1:$P$358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2" i="10" l="1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2" i="7"/>
  <c r="P43" i="7"/>
  <c r="P44" i="7"/>
  <c r="P45" i="7"/>
  <c r="P46" i="7"/>
  <c r="P47" i="7"/>
  <c r="P48" i="7"/>
  <c r="P49" i="7"/>
  <c r="P50" i="7"/>
  <c r="P51" i="7"/>
  <c r="P52" i="7"/>
  <c r="P54" i="7"/>
  <c r="P56" i="7"/>
  <c r="P57" i="7"/>
  <c r="P59" i="7"/>
  <c r="P60" i="7"/>
  <c r="P61" i="7"/>
  <c r="P65" i="7"/>
  <c r="P67" i="7"/>
  <c r="P68" i="7"/>
  <c r="P69" i="7"/>
  <c r="P70" i="7"/>
  <c r="P71" i="7"/>
  <c r="P72" i="7"/>
  <c r="P73" i="7"/>
  <c r="P74" i="7"/>
  <c r="P75" i="7"/>
  <c r="P76" i="7"/>
  <c r="P77" i="7"/>
  <c r="P78" i="7"/>
  <c r="P80" i="7"/>
  <c r="P83" i="7"/>
  <c r="P86" i="7"/>
  <c r="P96" i="7"/>
  <c r="P97" i="7"/>
  <c r="P98" i="7"/>
  <c r="P99" i="7"/>
  <c r="P104" i="7"/>
  <c r="P110" i="7"/>
  <c r="P111" i="7"/>
  <c r="P113" i="7"/>
  <c r="P124" i="7"/>
  <c r="P128" i="7"/>
  <c r="P131" i="7"/>
  <c r="P138" i="7"/>
  <c r="P151" i="7"/>
  <c r="P152" i="7"/>
  <c r="P153" i="7"/>
  <c r="P155" i="7"/>
  <c r="P170" i="7"/>
  <c r="P171" i="7"/>
  <c r="P181" i="7"/>
  <c r="P192" i="7"/>
  <c r="P193" i="7"/>
  <c r="P197" i="7"/>
  <c r="P198" i="7"/>
  <c r="P202" i="7"/>
  <c r="P205" i="7"/>
  <c r="P218" i="7"/>
  <c r="P219" i="7"/>
  <c r="P240" i="7"/>
  <c r="P244" i="7"/>
  <c r="P255" i="7"/>
  <c r="P2" i="7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" i="10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</calcChain>
</file>

<file path=xl/sharedStrings.xml><?xml version="1.0" encoding="utf-8"?>
<sst xmlns="http://schemas.openxmlformats.org/spreadsheetml/2006/main" count="7559" uniqueCount="1495">
  <si>
    <t>SKU</t>
  </si>
  <si>
    <t>Desc</t>
  </si>
  <si>
    <t>Check</t>
  </si>
  <si>
    <t>2511-0001</t>
  </si>
  <si>
    <t>MR672F, Penetrant - Flourescent Level 2; Solvent &amp; Water Removable  (400ml)</t>
  </si>
  <si>
    <t>2511-0002</t>
  </si>
  <si>
    <t>MR231, Dry Magnetic Powder - Grey (1Kg)</t>
  </si>
  <si>
    <t>2511-0003</t>
  </si>
  <si>
    <t>MR62, Penetrant - Red; Solvent Removable  (400 ml)</t>
  </si>
  <si>
    <t>2511-0004</t>
  </si>
  <si>
    <t>MR68NF, Biodegradable Penetrant – Red &amp; Fluorescent; Solvent &amp; Water Removable (400ml)</t>
  </si>
  <si>
    <t>2511-0005</t>
  </si>
  <si>
    <t>MR311-R AMS, Penetrant - Red; Solvent &amp; Water Removable  (400 ml)</t>
  </si>
  <si>
    <t>2511-0006</t>
  </si>
  <si>
    <t>MR70, Developer - White, Non Aqueous  (400 ml)</t>
  </si>
  <si>
    <t>2511-0007</t>
  </si>
  <si>
    <t>MR70I, Developer - White, Non Aqueous (400 ml)</t>
  </si>
  <si>
    <t>2511-0008</t>
  </si>
  <si>
    <t>MR79, Special Remover  (400 ml)</t>
  </si>
  <si>
    <t>2511-0009</t>
  </si>
  <si>
    <t>MR85, Remover  (400 ml)</t>
  </si>
  <si>
    <t>2511-0010</t>
  </si>
  <si>
    <t>MR311-R (Non AMS), Penetrant - Red; Solvent &amp; Water Removable  (400 ml)</t>
  </si>
  <si>
    <t>2511-0011</t>
  </si>
  <si>
    <t>MR70I (HD), Developer - White, Non Aqueous (400 ml)</t>
  </si>
  <si>
    <t>2511-0012</t>
  </si>
  <si>
    <t>MR76S, Magnetic Powder Suspension - Black (400 ml)</t>
  </si>
  <si>
    <t>2511-0013</t>
  </si>
  <si>
    <t>MR76F, Magnetic Powder Suspension - Fluorescent  (400 ml)</t>
  </si>
  <si>
    <t>2511-0014</t>
  </si>
  <si>
    <t>MR761F, ECOLINE Magnetic Powder Suspension - Fluorescent  (400 ml)</t>
  </si>
  <si>
    <t>2511-0015</t>
  </si>
  <si>
    <t>MR72 OR, White Contrast Paint (400 ml)</t>
  </si>
  <si>
    <t>2511-0016</t>
  </si>
  <si>
    <t>MR71, Paint Remover (400 ml)</t>
  </si>
  <si>
    <t>2511-0017</t>
  </si>
  <si>
    <t>MR72 EZ, White Contrast Paint (400 ml)</t>
  </si>
  <si>
    <t>2511-0018</t>
  </si>
  <si>
    <t>MR72 HD, White Contrast Paint (400 ml)</t>
  </si>
  <si>
    <t>2511-0019</t>
  </si>
  <si>
    <t>MR72 AU, White Contrast Paint (400 ml)</t>
  </si>
  <si>
    <t>2511-0020</t>
  </si>
  <si>
    <t>MR72 IN, White Contrast Paint (400 ml)</t>
  </si>
  <si>
    <t>2511-0021</t>
  </si>
  <si>
    <t>MR233, Dry Magnetic Powder - Yellow (1Kg)</t>
  </si>
  <si>
    <t>2511-0022</t>
  </si>
  <si>
    <t>MR234, Dry Magnetic Powder - Blue (1Kg)</t>
  </si>
  <si>
    <t>2511-0023</t>
  </si>
  <si>
    <t>MR683F, Penetrant - Flourescent Level 3; Solvent Removable  (400 ml)</t>
  </si>
  <si>
    <t>2511-0024</t>
  </si>
  <si>
    <t>MR110, ECOLINE Magnetic Powder - Fluorescent  (1/2Kg)</t>
  </si>
  <si>
    <t>2511-0025</t>
  </si>
  <si>
    <t>MR111HB, ECOLINE Magnetic Powder - Fluorescent  (1/2Kg)</t>
  </si>
  <si>
    <t>2511-0026</t>
  </si>
  <si>
    <t>MR112, ECOLINE Magnetic Powder - Fluorescent  (1/2Kg)</t>
  </si>
  <si>
    <t>2511-0027</t>
  </si>
  <si>
    <t>MR222, ECOLINE Magnetic Powder - Red &amp; Fluorescent (1Kg)</t>
  </si>
  <si>
    <t>2511-0028</t>
  </si>
  <si>
    <t>MR81T-R, Dry Developer Powder (1Kg)</t>
  </si>
  <si>
    <t>2511-0029</t>
  </si>
  <si>
    <t>MR210, ECOLINE Magnetic Powder - Black (1Kg)</t>
  </si>
  <si>
    <t>2511-0030</t>
  </si>
  <si>
    <t>MR214, Magnetic Powder Concentrate - Black (1Kg)</t>
  </si>
  <si>
    <t>2511-0031</t>
  </si>
  <si>
    <t>MR114HB, Magnetic Powder Composition - Fluorescent 'high brilliance' (1Kg)</t>
  </si>
  <si>
    <t>2511-0032</t>
  </si>
  <si>
    <t>MR110, ECOLINE Magnetic Powder - Fluorescent  (1Kg)</t>
  </si>
  <si>
    <t>2511-0033</t>
  </si>
  <si>
    <t>MR111HB, ECOLINE Magnetic Powder - Fluorescent  (1Kg)</t>
  </si>
  <si>
    <t>2511-0034</t>
  </si>
  <si>
    <t>MR230, Dry Magnetic Powder - Red (1Kg)</t>
  </si>
  <si>
    <t>2511-0035</t>
  </si>
  <si>
    <t>MR112, ECOLINE Magnetic Powder - Fluorescent  (1Kg)</t>
  </si>
  <si>
    <t>2511-0036</t>
  </si>
  <si>
    <t>MR232, Dry Magnetic Powder - Green (1Kg)</t>
  </si>
  <si>
    <t>2511-0037</t>
  </si>
  <si>
    <t>MR115, Magnetic Powder Composition - Fluorescent 'high brilliance' (1Kg)</t>
  </si>
  <si>
    <t>2511-0038</t>
  </si>
  <si>
    <t>MR118, Magnetic Powder Composition - Fluorescent  (1Kg)</t>
  </si>
  <si>
    <t>2511-0039</t>
  </si>
  <si>
    <t>MR304, Water Conditioner (1Kg)</t>
  </si>
  <si>
    <t>2511-0040</t>
  </si>
  <si>
    <t>MR913-Y, Leak Detector concentrate, oil based (fluorescent - yellow) (1L)</t>
  </si>
  <si>
    <t>2511-0041</t>
  </si>
  <si>
    <t>MR62, Penetrant - Red; Solvent Removable  (1L)</t>
  </si>
  <si>
    <t>2511-0042</t>
  </si>
  <si>
    <t>MR67, ECOLINE Penetrant - Red; Solvent &amp; Water Removable  (1L)</t>
  </si>
  <si>
    <t>2511-0043</t>
  </si>
  <si>
    <t>MR68NF, Biodegradable Penetrant – Red &amp; Fluorescent; Solvent &amp; Water Removable (1L)</t>
  </si>
  <si>
    <t>2511-0044</t>
  </si>
  <si>
    <t>MR311-R AMS, Penetrant - Red; Solvent &amp; Water Removable  (1L)</t>
  </si>
  <si>
    <t>2511-0045</t>
  </si>
  <si>
    <t>MR70, Developer - White, Non Aqueous  (1L)</t>
  </si>
  <si>
    <t>2511-0046</t>
  </si>
  <si>
    <t>MR70I, Developer - White, Non Aqueous (1L)</t>
  </si>
  <si>
    <t>2511-0047</t>
  </si>
  <si>
    <t>MR79, Special Remover  (1L)</t>
  </si>
  <si>
    <t>2511-0048</t>
  </si>
  <si>
    <t>MR85, Remover  (1L)</t>
  </si>
  <si>
    <t>2511-0049</t>
  </si>
  <si>
    <t>MR311-R (Non AMS), Penetrant - Red; Solvent &amp; Water Removable  (1L)</t>
  </si>
  <si>
    <t>2511-0050</t>
  </si>
  <si>
    <t>MR221, ECOLINE Magnetic Powder Concentrate - Black (1L)</t>
  </si>
  <si>
    <t>2511-0051</t>
  </si>
  <si>
    <t>MR222LC, ECOLINE Magnetic Powder Concentrate - Red &amp; Fluorescent (1L)</t>
  </si>
  <si>
    <t>2511-0052</t>
  </si>
  <si>
    <t>MR153, ECOLINE Magnetic Powder Concentrate - Fluorescent  (1L)</t>
  </si>
  <si>
    <t>2511-0053</t>
  </si>
  <si>
    <t>MR158-R, ECOLINE Magnetic Powder Concentrate - Fluorescent  (1L)</t>
  </si>
  <si>
    <t>2511-0054</t>
  </si>
  <si>
    <t>MR302, Corrosion Inhibitor Concentrate (1L)</t>
  </si>
  <si>
    <t>2511-0055</t>
  </si>
  <si>
    <t>MR71, Paint Remover (1L)</t>
  </si>
  <si>
    <t>2511-0056</t>
  </si>
  <si>
    <t>MR670F, Penetrant - Flourescent Level 0.5; Solvent &amp; Water Removable  (205L)</t>
  </si>
  <si>
    <t>2511-0057</t>
  </si>
  <si>
    <t>MR691F, Penetrant - Flourescent Level 1; Solvent &amp; Water Removable  (205L)</t>
  </si>
  <si>
    <t>2511-0058</t>
  </si>
  <si>
    <t>MR672F, Penetrant - Flourescent Level 2; Solvent &amp; Water Removable  (200L)</t>
  </si>
  <si>
    <t>2511-0059</t>
  </si>
  <si>
    <t>MR682F, Penetrant - Flourescent Level 2; Solvent &amp; Water Removable  (205L)</t>
  </si>
  <si>
    <t>2511-0060</t>
  </si>
  <si>
    <t>MR683F, Penetrant - Flourescent Level 3; Solvent Removable  (205L)</t>
  </si>
  <si>
    <t>2511-0061</t>
  </si>
  <si>
    <t>MR82, Flux Oil (AMS) (205L)</t>
  </si>
  <si>
    <t>2511-0062</t>
  </si>
  <si>
    <t>MR82-R, ECOLINE Flux Oil (205L)</t>
  </si>
  <si>
    <t>2511-0063</t>
  </si>
  <si>
    <t>MR82, Flux Oil (AMS) (25L)</t>
  </si>
  <si>
    <t>2511-0064</t>
  </si>
  <si>
    <t>MR670F, Penetrant - Flourescent Level 0.5; Solvent &amp; Water Removable  (5L)</t>
  </si>
  <si>
    <t>2511-0065</t>
  </si>
  <si>
    <t>MR691F, Penetrant - Flourescent Level 1; Solvent &amp; Water Removable  (5L)</t>
  </si>
  <si>
    <t>2511-0066</t>
  </si>
  <si>
    <t>MR672F, Penetrant - Flourescent Level 2; Solvent &amp; Water Removable  (5L)</t>
  </si>
  <si>
    <t>2511-0067</t>
  </si>
  <si>
    <t>MR682F, Penetrant - Flourescent Level 2; Solvent &amp; Water Removable  (5L)</t>
  </si>
  <si>
    <t>2511-0068</t>
  </si>
  <si>
    <t>MR683F, Penetrant - Flourescent Level 3; Solvent Removable  (5L)</t>
  </si>
  <si>
    <t>2511-0069</t>
  </si>
  <si>
    <t>MR62, Penetrant - Red; Solvent Removable  (5L)</t>
  </si>
  <si>
    <t>2511-0070</t>
  </si>
  <si>
    <t>MR67, ECOLINE Penetrant - Red; Solvent &amp; Water Removable  (5L)</t>
  </si>
  <si>
    <t>2511-0071</t>
  </si>
  <si>
    <t>MR68NF, Biodegradable Penetrant – Red &amp; Fluorescent; Solvent &amp; Water Removable (5L)</t>
  </si>
  <si>
    <t>2511-0072</t>
  </si>
  <si>
    <t>MR311-R AMS, Penetrant - Red; Solvent &amp; Water Removable  (5L)</t>
  </si>
  <si>
    <t>2511-0073</t>
  </si>
  <si>
    <t>MR70, Developer - White, Non Aqueous  (5L)</t>
  </si>
  <si>
    <t>2511-0074</t>
  </si>
  <si>
    <t>MR70I, Developer - White, Non Aqueous (5L)</t>
  </si>
  <si>
    <t>2511-0075</t>
  </si>
  <si>
    <t>MR79, Special Remover  (5L)</t>
  </si>
  <si>
    <t>2511-0076</t>
  </si>
  <si>
    <t>MR85, Remover  (5L)</t>
  </si>
  <si>
    <t>2511-0077</t>
  </si>
  <si>
    <t>MR311-R (Non AMS), Penetrant - Red; Solvent &amp; Water Removable  (5L)</t>
  </si>
  <si>
    <t>2511-0078</t>
  </si>
  <si>
    <t>MR153, ECOLINE Magnetic Powder Concentrate - Fluorescent  (5L)</t>
  </si>
  <si>
    <t>2511-0079</t>
  </si>
  <si>
    <t>MR158-R, ECOLINE Magnetic Powder Concentrate - Fluorescent  (5L)</t>
  </si>
  <si>
    <t>2511-0080</t>
  </si>
  <si>
    <t>MR82-R, ECOLINE Flux Oil (25L)</t>
  </si>
  <si>
    <t>2511-0081</t>
  </si>
  <si>
    <t>MR302, Corrosion Inhibitor Concentrate (5L)</t>
  </si>
  <si>
    <t>2511-0082</t>
  </si>
  <si>
    <t>MR71, Paint Remover (5L)</t>
  </si>
  <si>
    <t>2511-0083</t>
  </si>
  <si>
    <t>MR - SmartChoice, SC20 - Solvent Cleaner (280ml)</t>
  </si>
  <si>
    <t>2511-0084</t>
  </si>
  <si>
    <t>MR - SmartChoice, SP10 - Solvent Removable Penetrant - Red (280ml)</t>
  </si>
  <si>
    <t>2511-0085</t>
  </si>
  <si>
    <t>2511-0086</t>
  </si>
  <si>
    <t>MR913-B, Leak Detector concentrate, oil based (fluorescent - blue) (1L)</t>
  </si>
  <si>
    <t>2511-0087</t>
  </si>
  <si>
    <t>MR913-G, Leak Detector concentrate, oil based (fluorescent - green) (1L)</t>
  </si>
  <si>
    <t>2511-0088</t>
  </si>
  <si>
    <t>MR - SmartChoice, SD30 - Non-Aqueous Developer (5L)</t>
  </si>
  <si>
    <t>2511-0089</t>
  </si>
  <si>
    <t>MR - SmartChoice, SC20 - Solvent Cleaner (5L)</t>
  </si>
  <si>
    <t>2511-0090</t>
  </si>
  <si>
    <t>MR - SmartChoice, SP10 - Solvent Removable Penetrant - Red (5L)</t>
  </si>
  <si>
    <t>2511-0091</t>
  </si>
  <si>
    <t>Klyde Rubber Insulation Coating - Blue (500ml)</t>
  </si>
  <si>
    <t>2511-0092</t>
  </si>
  <si>
    <t>EF-6Y AC Magnetic Yoke 230V 50-60 Hz, 1 Phase</t>
  </si>
  <si>
    <t>2511-0093</t>
  </si>
  <si>
    <t>Klyde Rubber Insulation Coating - Yellow (500ml)</t>
  </si>
  <si>
    <t>2511-0094</t>
  </si>
  <si>
    <t>Klyde Flaky Zinc Spray 'Bright Grade' (500ml)</t>
  </si>
  <si>
    <t>2511-0095</t>
  </si>
  <si>
    <t>MR311-R, Penetrant - Red; Solvent &amp; Water Removable  (25L)</t>
  </si>
  <si>
    <t>2511-0096</t>
  </si>
  <si>
    <t>MR114, Magnetic Powder Composition - Fluorescent  (1Kg)</t>
  </si>
  <si>
    <t>2511-0097</t>
  </si>
  <si>
    <t>MR111, ECOLINE Magnetic Powder - Fluorescent  (1/2Kg)</t>
  </si>
  <si>
    <t>2511-0098</t>
  </si>
  <si>
    <t>MR111, ECOLINE Magnetic Powder - Fluorescent  (1Kg)</t>
  </si>
  <si>
    <t>2511-0099</t>
  </si>
  <si>
    <t>MR117, Magnetic Powder Composition - Fluorescent  (1Kg)</t>
  </si>
  <si>
    <t>2511-0100</t>
  </si>
  <si>
    <t>Klyde Aquakleen Concentrate (20L)</t>
  </si>
  <si>
    <t>2511-0101</t>
  </si>
  <si>
    <t>Klyde K40 - Multifunctional Oil &amp; Lubricant (General Maintainence) (500ml)</t>
  </si>
  <si>
    <t>2511-0102</t>
  </si>
  <si>
    <t>MR312, Penetrant - Red &amp; Fluorescent; Solvent &amp; Water Removable (Low temperature upto -30°C) (400ml)</t>
  </si>
  <si>
    <t>2511-0103</t>
  </si>
  <si>
    <t>MR76SH, Magnetic Powder Suspension - Black (High Temperature) (400 ml)</t>
  </si>
  <si>
    <t>2511-0104</t>
  </si>
  <si>
    <t>Klyde Flaky Zinc Spray 'Bright Grade' (400ml)</t>
  </si>
  <si>
    <t>2511-0105</t>
  </si>
  <si>
    <t>ASTM Test Block</t>
  </si>
  <si>
    <t>2511-0106</t>
  </si>
  <si>
    <t>MR653F, Penetrant - Flourescent Level 3; Solvent &amp; Water Removable  (400ml)</t>
  </si>
  <si>
    <t>2511-0107</t>
  </si>
  <si>
    <t>MR652F, Penetrant - Flourescent Level 2; Solvent &amp; Water Removable  (400ml)</t>
  </si>
  <si>
    <t>2511-0108</t>
  </si>
  <si>
    <t>Klyde - Smoke Detector Spray (280 ml)</t>
  </si>
  <si>
    <t>2511-0109</t>
  </si>
  <si>
    <t>MR232, Dry Magnetic Powder - Green (30 Kg)</t>
  </si>
  <si>
    <t>2511-0110</t>
  </si>
  <si>
    <t>MR672F, Penetrant - Flourescent Level 2; Solvent &amp; Water Removable (Piccolo-Pen)</t>
  </si>
  <si>
    <t>2511-0111</t>
  </si>
  <si>
    <t>MR765RF, Magnetic Powder suspension - Red &amp; Fluorescent (400 ml)</t>
  </si>
  <si>
    <t>2511-0112</t>
  </si>
  <si>
    <t>MR72 IN - White Contrast Paint (5L)</t>
  </si>
  <si>
    <t>2511-0115</t>
  </si>
  <si>
    <t>Klyde Rubber Insulation Coating - Black (500ml)</t>
  </si>
  <si>
    <t>2511-0116</t>
  </si>
  <si>
    <t>Klyde Aquakleen Concentrate (5L)</t>
  </si>
  <si>
    <t>2511-0117</t>
  </si>
  <si>
    <t>Klyde Cement Remover Concentrate (1L)</t>
  </si>
  <si>
    <t>2511-0118</t>
  </si>
  <si>
    <t>Bird Repellent Gel (Bio-Degradable) (5kg)</t>
  </si>
  <si>
    <t>2511-0120</t>
  </si>
  <si>
    <t>MR - SmartChoice, SC20 (FD) - Solvent Cleaner (280ml)</t>
  </si>
  <si>
    <t>2511-0121</t>
  </si>
  <si>
    <t>MR - SmartChoice, SC20 (FD) - Solvent Cleaner (400ml)</t>
  </si>
  <si>
    <t>2511-0122</t>
  </si>
  <si>
    <t>MR - SmartChoice, SC20 (FD) - Solvent Cleaner (1L)</t>
  </si>
  <si>
    <t>2511-0123</t>
  </si>
  <si>
    <t>MR - SmartChoice, SC20 (FD) - Solvent Cleaner (5L)</t>
  </si>
  <si>
    <t>2511-0124</t>
  </si>
  <si>
    <t>MR - SmartChoice, WCP40 White Contrast Paint (400 ml)</t>
  </si>
  <si>
    <t>2511-0125</t>
  </si>
  <si>
    <t>MR76S (TS), Magnetic Powder Suspension - Black (400 ml)</t>
  </si>
  <si>
    <t>2511-0126</t>
  </si>
  <si>
    <t>MR - SmartChoice, MIK80 Magnetic Ink Black (400 ml)</t>
  </si>
  <si>
    <t>2511-0127</t>
  </si>
  <si>
    <t>MR - SmartChoice, PP25 - Solvent Removable Penetrant - Red (400ml)</t>
  </si>
  <si>
    <t>2511-0128</t>
  </si>
  <si>
    <t>MR - SmartChoice, PP25 - Solvent Removable Penetrant - Red (5L)</t>
  </si>
  <si>
    <t>2511-0129</t>
  </si>
  <si>
    <t>MR79, Special Remover (20L)</t>
  </si>
  <si>
    <t>2511-0130</t>
  </si>
  <si>
    <t>MR - SmartChoice, PP25 - Solvent Removable Penetrant - Red (1L)</t>
  </si>
  <si>
    <t>2511-0131</t>
  </si>
  <si>
    <t>MR82, Flux Oil (AMS) (210L)</t>
  </si>
  <si>
    <t>2511-0132</t>
  </si>
  <si>
    <t>MR85, Remover (20L)</t>
  </si>
  <si>
    <t>2511-0133</t>
  </si>
  <si>
    <t>MR - SmartChoice, PP25 - Solvent Removable Penetrant - Red (280ml)</t>
  </si>
  <si>
    <t>2511-0134</t>
  </si>
  <si>
    <t>Klyde Rubber Insulation Coating - Red (500ml)</t>
  </si>
  <si>
    <t>2511-0135</t>
  </si>
  <si>
    <t>Klyde Cement Remover Concentrate (5L)</t>
  </si>
  <si>
    <t>2511-0136</t>
  </si>
  <si>
    <t>MR - SmartChoice, SP10 - Solvent Removable Penetrant - Red (400ml)</t>
  </si>
  <si>
    <t>2511-0137</t>
  </si>
  <si>
    <t>MR - SmartChoice, SC20 - Solvent Cleaner (400ml)</t>
  </si>
  <si>
    <t>2511-0138</t>
  </si>
  <si>
    <t>Klyde Water Soluble Degreaser for Degreasing of Both Ferrous And Non-Ferrous Alloy Components (30L)</t>
  </si>
  <si>
    <t>2511-0139</t>
  </si>
  <si>
    <t>MR85, Remover (25L)</t>
  </si>
  <si>
    <t>2511-0141</t>
  </si>
  <si>
    <t>MR - SmartChoice, SP10 - Solvent Removable Penetrant - Red (1L)</t>
  </si>
  <si>
    <t>2511-0142</t>
  </si>
  <si>
    <t>MR - SmartChoice, SC20 - Solvent Cleaner (1L)</t>
  </si>
  <si>
    <t>2511-0143</t>
  </si>
  <si>
    <t>MR - SmartChoice, WP15 - Water Washable Penetrant - Red (400ml)</t>
  </si>
  <si>
    <t>2511-0144</t>
  </si>
  <si>
    <t>MR - SmartChoice, WP15 - Water Washable Penetrant - Red (1L)</t>
  </si>
  <si>
    <t>2511-0145</t>
  </si>
  <si>
    <t>MR - SmartChoice, WP15 - Water Washable Penetrant - Red (5L)</t>
  </si>
  <si>
    <t>2511-0146</t>
  </si>
  <si>
    <t>D-Shield Rodent Stopper (400ml)</t>
  </si>
  <si>
    <t>2511-0150</t>
  </si>
  <si>
    <t>LUMOX YELLOW 101-1 (20 kg)</t>
  </si>
  <si>
    <t>2511-0151</t>
  </si>
  <si>
    <t>LUMOX YELLOW 101-2 (20 kg)</t>
  </si>
  <si>
    <t>2511-0154</t>
  </si>
  <si>
    <t>Klyde Aquakleen Concentrate (1L)</t>
  </si>
  <si>
    <t>2511-0155</t>
  </si>
  <si>
    <t>MR - SmartChoice, SD30 - Non-Aqueous Developer (400ml)</t>
  </si>
  <si>
    <t>2511-0156</t>
  </si>
  <si>
    <t>MR - SmartChoice, SD30 - Non-Aqueous Developer (1L)</t>
  </si>
  <si>
    <t>2511-0158</t>
  </si>
  <si>
    <t>Klyde Cement Remover Concentrate (20L)</t>
  </si>
  <si>
    <t>2511-0160</t>
  </si>
  <si>
    <t>MR68H, High Temperature Penetrant (400ml)</t>
  </si>
  <si>
    <t>2511-0161</t>
  </si>
  <si>
    <t>MR70H, High Temperature Developer (400ml)</t>
  </si>
  <si>
    <t>2511-0162</t>
  </si>
  <si>
    <t>MR91H, High Temperature Cleaner (400ml)</t>
  </si>
  <si>
    <t>2511-0163</t>
  </si>
  <si>
    <t>MR131, Magnetic Powder Concentrate (1L)</t>
  </si>
  <si>
    <t>2511-0164</t>
  </si>
  <si>
    <t>MR672F, Penetrant - Flourescent Level 2; Solvent &amp; Water Removable (1L)</t>
  </si>
  <si>
    <t>2511-0165</t>
  </si>
  <si>
    <t>SP10, Solvent Removable Penetrant - Red (5L)</t>
  </si>
  <si>
    <t>2511-0166</t>
  </si>
  <si>
    <t>SC20, Solvent Cleaner (5L)</t>
  </si>
  <si>
    <t>2511-0167</t>
  </si>
  <si>
    <t>SD30, Non Aqueous Developer (5L)</t>
  </si>
  <si>
    <t>2511-0168</t>
  </si>
  <si>
    <t>D-Shield, 24hr Disinfectant Coating Spray (400ml)</t>
  </si>
  <si>
    <t>2511-0169</t>
  </si>
  <si>
    <t>ATTBLIME AB6 (400ml)</t>
  </si>
  <si>
    <t>2511-0170</t>
  </si>
  <si>
    <t>ATTBLIME AB24 (400ml)</t>
  </si>
  <si>
    <t>2511-0171</t>
  </si>
  <si>
    <t>ATTBLIME AB2 (400ml)</t>
  </si>
  <si>
    <t>2511-0172</t>
  </si>
  <si>
    <t>MR561, Hand Yoke</t>
  </si>
  <si>
    <t>2511-0173</t>
  </si>
  <si>
    <t>MR673F, Penetrant - Fluorescent Level 3; Water Removable (5L)</t>
  </si>
  <si>
    <t>2511-0179</t>
  </si>
  <si>
    <t>Ni-Cr 1 Test Panel Twin Crack Depth 30 Micron</t>
  </si>
  <si>
    <t>2511-0184</t>
  </si>
  <si>
    <t>ASME Aluminum Test Panel</t>
  </si>
  <si>
    <t>2511-0186</t>
  </si>
  <si>
    <t>G57-3L ASME Aluminum Comparator Block</t>
  </si>
  <si>
    <t>2511-0187</t>
  </si>
  <si>
    <t>MR99 - Leak Detector (1L)</t>
  </si>
  <si>
    <t>2511-0188</t>
  </si>
  <si>
    <t>MR975 UV LED Lamp</t>
  </si>
  <si>
    <t>2511-0189</t>
  </si>
  <si>
    <t>MR72 OR - White Contrast Paint (5L)</t>
  </si>
  <si>
    <t>2511-0190</t>
  </si>
  <si>
    <t>MR72 OR - White Contrast Paint (1L)</t>
  </si>
  <si>
    <t>2511-0191</t>
  </si>
  <si>
    <t>MR974AN UV LED Lamp</t>
  </si>
  <si>
    <t>2511-0192</t>
  </si>
  <si>
    <t>G19A MTU No. 3 Reference block type 1 acc. EN ISO 9934-2</t>
  </si>
  <si>
    <t>2511-0193</t>
  </si>
  <si>
    <t>G47-6L Reference Test Block JIS Z2343 30um - 2 panels</t>
  </si>
  <si>
    <t>2511-0194</t>
  </si>
  <si>
    <t>TRACER 100 Leak Detector Liquid - Fluorescent (25L)</t>
  </si>
  <si>
    <t>2511-0195</t>
  </si>
  <si>
    <t>MR81 - Food Safe Dry Developer (1 kg)</t>
  </si>
  <si>
    <t>2511-0196</t>
  </si>
  <si>
    <t>MR955 - Food Safe Penetrant (1L)</t>
  </si>
  <si>
    <t>2511-0197</t>
  </si>
  <si>
    <t>MR Chemie Sample Box</t>
  </si>
  <si>
    <t>2511-0198</t>
  </si>
  <si>
    <t>MR673F, Penetrant - Fluorescent Level 3; Water Removable (1L)</t>
  </si>
  <si>
    <t>2511-0199</t>
  </si>
  <si>
    <t>MR673F, Penetrant - Fluorescent Level 3; Water Removable (400ml)</t>
  </si>
  <si>
    <t>2511-0200</t>
  </si>
  <si>
    <t>MR76S AU, Magnetic Powder Suspension - Black (400 ml)</t>
  </si>
  <si>
    <t>2511-0201</t>
  </si>
  <si>
    <t>Deca 90 Sublimating Agent</t>
  </si>
  <si>
    <t>2511-0202</t>
  </si>
  <si>
    <t>MR56 Hand Yoke 230V w/ straight poles, mounted cable con, field strength pole dist. 160mm: 60 A/cm</t>
  </si>
  <si>
    <t>2511-0204</t>
  </si>
  <si>
    <t>Bird Repellent Gel (Bio-Degradable) (1kg)</t>
  </si>
  <si>
    <t>2511-0205</t>
  </si>
  <si>
    <t>Cellulose Powder</t>
  </si>
  <si>
    <t>2511-0207</t>
  </si>
  <si>
    <t>Cleaner B</t>
  </si>
  <si>
    <t>2511-0213</t>
  </si>
  <si>
    <t>Black Die</t>
  </si>
  <si>
    <t>2511-0214</t>
  </si>
  <si>
    <t>MR - SmartChoice, SD30 - Non-Aqueous Developer (280ml)</t>
  </si>
  <si>
    <t>2511-0215</t>
  </si>
  <si>
    <t>Defender 11- A, Anti - Corrosion Coating</t>
  </si>
  <si>
    <t>2511-0216</t>
  </si>
  <si>
    <t>CLEAN -11, Remover For Defender 11-A</t>
  </si>
  <si>
    <t>2511-0217</t>
  </si>
  <si>
    <t>Klyde DE-Humidifier (400ml)</t>
  </si>
  <si>
    <t>2511-0218</t>
  </si>
  <si>
    <t>MR70, Developer - White, Non Aqueous (Piccolo-Pen)</t>
  </si>
  <si>
    <t>2511-0219</t>
  </si>
  <si>
    <t>MR85; Remover (Piccolo-Pen)</t>
  </si>
  <si>
    <t>2511-0220</t>
  </si>
  <si>
    <t>Verpackungskosten Gefahrgut Luftfracht, UN-Karton fur Gebindeware, 290x210x320</t>
  </si>
  <si>
    <t>2511-0221</t>
  </si>
  <si>
    <t>Student Kit - NDT (pack of 6) </t>
  </si>
  <si>
    <t>2511-0222</t>
  </si>
  <si>
    <t>MR50 Hand Yoke 230 Volt</t>
  </si>
  <si>
    <t>2511-0223</t>
  </si>
  <si>
    <t>MR111HB, ECOLINE Magnetic Powder - Fluorescent  (1Kg - Individual Pack) </t>
  </si>
  <si>
    <t>2511-0224</t>
  </si>
  <si>
    <t>MR111HB, ECOLINE Magnetic Powder - Fluorescent  (1/2Kg Individual Pack)</t>
  </si>
  <si>
    <t>2511-0225</t>
  </si>
  <si>
    <t>Aquakleen - Multipurpose Cleaner (1 Kg)</t>
  </si>
  <si>
    <t>2511-0226</t>
  </si>
  <si>
    <t>ATTBLIME ABP (400ml)</t>
  </si>
  <si>
    <t>2511-0227</t>
  </si>
  <si>
    <t>Calibration of Yoke</t>
  </si>
  <si>
    <t>2511-0228</t>
  </si>
  <si>
    <t>MR230, Dry Magnetic Powder - Red (30 Kg)</t>
  </si>
  <si>
    <t>2511-0229</t>
  </si>
  <si>
    <t>Aquakleen - Multipurpose Cleaner (20 Kg)</t>
  </si>
  <si>
    <t>2511-0230</t>
  </si>
  <si>
    <t>MR82, Flux Oil (AMS) (20L)</t>
  </si>
  <si>
    <t>2511-0231</t>
  </si>
  <si>
    <t>MR70I (EZ), Developer - White, Non Aqueous (400 ml)</t>
  </si>
  <si>
    <t>2511-0232</t>
  </si>
  <si>
    <t>Technical Services - AM-3D Product R&amp;D</t>
  </si>
  <si>
    <t>2511-0234</t>
  </si>
  <si>
    <t>Liquid Zinc Galvanize Paint (1L)</t>
  </si>
  <si>
    <t>2511-0235</t>
  </si>
  <si>
    <t>CX-230 Quantitative Quality Indicator - Standard, flaw depth of 30% of shim thickness 0.002"</t>
  </si>
  <si>
    <t>2511-0236</t>
  </si>
  <si>
    <t>Magnetic Flux Indicator Strips "G Type" Burma Castrol Strips</t>
  </si>
  <si>
    <t>2511-0237</t>
  </si>
  <si>
    <t>2511-0239</t>
  </si>
  <si>
    <t>Klyde Rust Remover (1L)</t>
  </si>
  <si>
    <t>2511-0240</t>
  </si>
  <si>
    <t>Klyde Rust Remover (5L)</t>
  </si>
  <si>
    <t>2511-0241</t>
  </si>
  <si>
    <t>Klyde Zinc Metal Spray (400ml)</t>
  </si>
  <si>
    <t>2511-0242</t>
  </si>
  <si>
    <t>Sprühkopf 3905</t>
  </si>
  <si>
    <t>2511-0243</t>
  </si>
  <si>
    <t>RILUMINATI 815 Indicator film fluorescent 500 ml aerosol can</t>
  </si>
  <si>
    <t>2511-0244</t>
  </si>
  <si>
    <t>RILUMINATI 816 overlay black 500 ml aerosol can</t>
  </si>
  <si>
    <t>2511-0245</t>
  </si>
  <si>
    <t>Liquid Zinc Galvanize Paint (5L)</t>
  </si>
  <si>
    <t>2511-0246</t>
  </si>
  <si>
    <t>MR72 IN(R), White Contrast Paint (425 ml)</t>
  </si>
  <si>
    <t>2511-0247</t>
  </si>
  <si>
    <t>MR72 IN(R), White Contrast Paint (400 ml)</t>
  </si>
  <si>
    <t>2511-0248</t>
  </si>
  <si>
    <t>Resinwork DENTSIN Aqua 1 (White) - 1 kg</t>
  </si>
  <si>
    <t>2511-0249</t>
  </si>
  <si>
    <t>Resinwork DENTSIN Aqua 1 (Transparent) - 1 kg</t>
  </si>
  <si>
    <t>2511-0250</t>
  </si>
  <si>
    <t>Resinwork Colour CR1 - 50 ml</t>
  </si>
  <si>
    <t>2511-0251</t>
  </si>
  <si>
    <t>Resinwork Colour CY1 - 50 ml</t>
  </si>
  <si>
    <t>2511-0252</t>
  </si>
  <si>
    <t>Resinwork Colour CB1 - 50 ml</t>
  </si>
  <si>
    <t>2511-0253</t>
  </si>
  <si>
    <t>Ni-Cr 1 Test Panel Twin Crack Depth 10 Micron</t>
  </si>
  <si>
    <t>2511-0254</t>
  </si>
  <si>
    <t>Ni-Cr 1 Test Panel Twin Crack Depth 20 Micron</t>
  </si>
  <si>
    <t>2511-0255</t>
  </si>
  <si>
    <t>Ni-Cr 1 Test Panel Twin Crack Depth 50 Micron</t>
  </si>
  <si>
    <t>2511-0256</t>
  </si>
  <si>
    <t>Klyde K40 - Multifunctional Oil &amp; Lubricant (General Maintainence) (100ml)</t>
  </si>
  <si>
    <t>2511-0257</t>
  </si>
  <si>
    <t>Reference Test Block 2</t>
  </si>
  <si>
    <t>2511-0258</t>
  </si>
  <si>
    <t>MR955 - Food Safe Penetrant (10L)</t>
  </si>
  <si>
    <t>2511-0259</t>
  </si>
  <si>
    <t>Magnetic Flux Indicator Strips “A Type” Burma Castrol Strips</t>
  </si>
  <si>
    <t>2511-0260</t>
  </si>
  <si>
    <t>Reference Test Block Type 1 - MTU Block</t>
  </si>
  <si>
    <t>2511-0261</t>
  </si>
  <si>
    <t>Attblime photopolymer Beige</t>
  </si>
  <si>
    <t>2511-0262</t>
  </si>
  <si>
    <t>Attblime photopolymer White</t>
  </si>
  <si>
    <t>2511-0263</t>
  </si>
  <si>
    <t>Attblime photopolymer Grey</t>
  </si>
  <si>
    <t>2511-0264</t>
  </si>
  <si>
    <t>25 Messpunkte Promoboxen</t>
  </si>
  <si>
    <t>2511-0265</t>
  </si>
  <si>
    <t>4 Hinterrader Kinderwagen</t>
  </si>
  <si>
    <t>2511-0266</t>
  </si>
  <si>
    <t>Klyde Silencer Coating Silver - High Temperature (280ml)</t>
  </si>
  <si>
    <t>2511-0267</t>
  </si>
  <si>
    <t>Klyde Silencer Coating Black High Temperature - 280ml</t>
  </si>
  <si>
    <t>2511-0268</t>
  </si>
  <si>
    <t>MR233, Dry Magnetic Powder - Yellow (30 Kg)</t>
  </si>
  <si>
    <t>2511-0269</t>
  </si>
  <si>
    <t>MR131, Magnetic Powder Concentrate (500ml)</t>
  </si>
  <si>
    <t>2511-0270</t>
  </si>
  <si>
    <t>Aquakleen - Multipurpose Cleaner (5 Kgs)</t>
  </si>
  <si>
    <t>2511-0271</t>
  </si>
  <si>
    <t>Aquakleen - Multipurpose Cleaner (210 Kgs)</t>
  </si>
  <si>
    <t>2511-0272</t>
  </si>
  <si>
    <t>MR68NF, Biodegradable Penetrant – Red &amp; Fluorescent; Solvent &amp; Water Removable (Piccolo-Pen)</t>
  </si>
  <si>
    <t>2511-0273</t>
  </si>
  <si>
    <t>Consolidated Old Balance FG</t>
  </si>
  <si>
    <t>2511-0274</t>
  </si>
  <si>
    <t>AC/DC Yoke</t>
  </si>
  <si>
    <t>2511-0275</t>
  </si>
  <si>
    <t>20-0-20 Gauss Meter</t>
  </si>
  <si>
    <t>2511-0276</t>
  </si>
  <si>
    <t>Centrifugal Tube with Stand</t>
  </si>
  <si>
    <t>2511-0277</t>
  </si>
  <si>
    <t>Calcium Carbonate</t>
  </si>
  <si>
    <t>2511-0278</t>
  </si>
  <si>
    <t>UVA LED Flashlight</t>
  </si>
  <si>
    <t>2511-0279</t>
  </si>
  <si>
    <t>Resinwork DENTSIN Pro Aqua 2 (Birch Beige) - 1 kg</t>
  </si>
  <si>
    <t>2511-0280</t>
  </si>
  <si>
    <t>Magnetic Field Indicator Acc to ASTM E -709(Pie Guage)</t>
  </si>
  <si>
    <t>2511-0281</t>
  </si>
  <si>
    <t>2511-0283</t>
  </si>
  <si>
    <t>Penetrant Testing Flawed Specimen</t>
  </si>
  <si>
    <t>Code</t>
  </si>
  <si>
    <t>Description</t>
  </si>
  <si>
    <t>State Code for eTDS/TCS</t>
  </si>
  <si>
    <t>State Code (GST Reg. No.)</t>
  </si>
  <si>
    <t>Zone</t>
  </si>
  <si>
    <t>AD</t>
  </si>
  <si>
    <t>Andhra Pradesh</t>
  </si>
  <si>
    <t>South</t>
  </si>
  <si>
    <t>AN</t>
  </si>
  <si>
    <t>Andaman and Nicobar Islands</t>
  </si>
  <si>
    <t>AR</t>
  </si>
  <si>
    <t>Arunachal Pradesh</t>
  </si>
  <si>
    <t>North East</t>
  </si>
  <si>
    <t>AS</t>
  </si>
  <si>
    <t>Assam</t>
  </si>
  <si>
    <t>BR</t>
  </si>
  <si>
    <t>Bihar</t>
  </si>
  <si>
    <t>East</t>
  </si>
  <si>
    <t>CG</t>
  </si>
  <si>
    <t>Chattisgarh</t>
  </si>
  <si>
    <t>Central</t>
  </si>
  <si>
    <t>CH</t>
  </si>
  <si>
    <t>Chandigarh</t>
  </si>
  <si>
    <t>North</t>
  </si>
  <si>
    <t>DD</t>
  </si>
  <si>
    <t>Daman and Diu</t>
  </si>
  <si>
    <t>West</t>
  </si>
  <si>
    <t>DL</t>
  </si>
  <si>
    <t>Delhi</t>
  </si>
  <si>
    <t>DN</t>
  </si>
  <si>
    <t>Dadra and Nagar Haveli</t>
  </si>
  <si>
    <t>GA</t>
  </si>
  <si>
    <t>Goa</t>
  </si>
  <si>
    <t>GJ</t>
  </si>
  <si>
    <t>Gujarat</t>
  </si>
  <si>
    <t>HP</t>
  </si>
  <si>
    <t>Himachal Pradesh</t>
  </si>
  <si>
    <t>HR</t>
  </si>
  <si>
    <t>Haryana</t>
  </si>
  <si>
    <t>JH</t>
  </si>
  <si>
    <t>Jharkhand</t>
  </si>
  <si>
    <t>JK</t>
  </si>
  <si>
    <t>Jammu and Kashmir</t>
  </si>
  <si>
    <t>KA</t>
  </si>
  <si>
    <t>Karnataka</t>
  </si>
  <si>
    <t>KL</t>
  </si>
  <si>
    <t>Kerala</t>
  </si>
  <si>
    <t>LA</t>
  </si>
  <si>
    <t>Ladakh</t>
  </si>
  <si>
    <t>LD</t>
  </si>
  <si>
    <t>Lakshadweep Islands</t>
  </si>
  <si>
    <t>MH</t>
  </si>
  <si>
    <t>Maharashtra</t>
  </si>
  <si>
    <t>ML</t>
  </si>
  <si>
    <t>Meghalaya</t>
  </si>
  <si>
    <t>MN</t>
  </si>
  <si>
    <t>Manipur</t>
  </si>
  <si>
    <t>MP</t>
  </si>
  <si>
    <t>Madhya Pradesh</t>
  </si>
  <si>
    <t>MZ</t>
  </si>
  <si>
    <t>Mizoram</t>
  </si>
  <si>
    <t>NL</t>
  </si>
  <si>
    <t>Nagaland</t>
  </si>
  <si>
    <t>OD</t>
  </si>
  <si>
    <t>Odisha</t>
  </si>
  <si>
    <t>PB</t>
  </si>
  <si>
    <t>Punjab</t>
  </si>
  <si>
    <t>PY</t>
  </si>
  <si>
    <t>Pondicherry</t>
  </si>
  <si>
    <t>RJ</t>
  </si>
  <si>
    <t>Rajasthan</t>
  </si>
  <si>
    <t>SK</t>
  </si>
  <si>
    <t>Sikkim</t>
  </si>
  <si>
    <t>TN</t>
  </si>
  <si>
    <t>Tamil Nadu</t>
  </si>
  <si>
    <t>TR</t>
  </si>
  <si>
    <t>Tripura</t>
  </si>
  <si>
    <t>TS</t>
  </si>
  <si>
    <t>Telangana</t>
  </si>
  <si>
    <t>UK</t>
  </si>
  <si>
    <t>Uttarakhand</t>
  </si>
  <si>
    <t>UP</t>
  </si>
  <si>
    <t>Uttar Pradesh</t>
  </si>
  <si>
    <t>WB</t>
  </si>
  <si>
    <t>West Bengal</t>
  </si>
  <si>
    <t>Name</t>
  </si>
  <si>
    <t>Master Category</t>
  </si>
  <si>
    <t>Category</t>
  </si>
  <si>
    <t>Sub Category</t>
  </si>
  <si>
    <t>Product Base Name</t>
  </si>
  <si>
    <t>Check ERP</t>
  </si>
  <si>
    <t>Non Destructive Testing Solutions</t>
  </si>
  <si>
    <t>Dye Penetrant Testing</t>
  </si>
  <si>
    <t>Penetrant</t>
  </si>
  <si>
    <t>MR672F</t>
  </si>
  <si>
    <t>Magnetic Particle Testing</t>
  </si>
  <si>
    <t>Dry Powders</t>
  </si>
  <si>
    <t>MR231</t>
  </si>
  <si>
    <t>MR62</t>
  </si>
  <si>
    <t>MR68NF</t>
  </si>
  <si>
    <t>MR311-R</t>
  </si>
  <si>
    <t>Developer</t>
  </si>
  <si>
    <t>MR70</t>
  </si>
  <si>
    <t>MR70I</t>
  </si>
  <si>
    <t>Cleaner</t>
  </si>
  <si>
    <t>MR79</t>
  </si>
  <si>
    <t>MR85</t>
  </si>
  <si>
    <t>Detection Media (Visible)</t>
  </si>
  <si>
    <t>MR76S</t>
  </si>
  <si>
    <t>Detection Media (Fluorescent)</t>
  </si>
  <si>
    <t>MR76F</t>
  </si>
  <si>
    <t>MR761F</t>
  </si>
  <si>
    <t>Contrast Paint</t>
  </si>
  <si>
    <t>MR72</t>
  </si>
  <si>
    <t>MR71</t>
  </si>
  <si>
    <t>MR233</t>
  </si>
  <si>
    <t>MR234</t>
  </si>
  <si>
    <t>MR683F</t>
  </si>
  <si>
    <t>MR110</t>
  </si>
  <si>
    <t>MR111HB</t>
  </si>
  <si>
    <t>MR112</t>
  </si>
  <si>
    <t>MR222</t>
  </si>
  <si>
    <t>MR81T-R</t>
  </si>
  <si>
    <t>MR210</t>
  </si>
  <si>
    <t>MR214</t>
  </si>
  <si>
    <t>MR114HB</t>
  </si>
  <si>
    <t>MR230</t>
  </si>
  <si>
    <t>MR232</t>
  </si>
  <si>
    <t>MR115</t>
  </si>
  <si>
    <t>MR118</t>
  </si>
  <si>
    <t>Additives</t>
  </si>
  <si>
    <t>MR304</t>
  </si>
  <si>
    <t>Leak Detection Systems</t>
  </si>
  <si>
    <t>Leak Detection Dye</t>
  </si>
  <si>
    <t>NA</t>
  </si>
  <si>
    <t>MR67</t>
  </si>
  <si>
    <t>MR221</t>
  </si>
  <si>
    <t>MR222LC</t>
  </si>
  <si>
    <t>MR153</t>
  </si>
  <si>
    <t>MR158-R</t>
  </si>
  <si>
    <t>MR302</t>
  </si>
  <si>
    <t>MR670F</t>
  </si>
  <si>
    <t>MR691F</t>
  </si>
  <si>
    <t>MR682F</t>
  </si>
  <si>
    <t>Carrier Media</t>
  </si>
  <si>
    <t>MR82</t>
  </si>
  <si>
    <t>SC-20</t>
  </si>
  <si>
    <t>SP-10</t>
  </si>
  <si>
    <t>SD-30</t>
  </si>
  <si>
    <t>MRO Consumables</t>
  </si>
  <si>
    <t>Coatings</t>
  </si>
  <si>
    <t>Rubber Insulation Coating</t>
  </si>
  <si>
    <t>Equipment &amp; Accessories</t>
  </si>
  <si>
    <t>Yokes</t>
  </si>
  <si>
    <t>Zinc Spray</t>
  </si>
  <si>
    <t>Corrosion Protection and Rust Prevention</t>
  </si>
  <si>
    <t>MR114</t>
  </si>
  <si>
    <t>MR111</t>
  </si>
  <si>
    <t>MR117</t>
  </si>
  <si>
    <t>Cleaning and Degreasing</t>
  </si>
  <si>
    <t>Lubricants and Penetrating Oils</t>
  </si>
  <si>
    <t>K40</t>
  </si>
  <si>
    <t>MR312</t>
  </si>
  <si>
    <t>MR76SH</t>
  </si>
  <si>
    <t>Guages &amp; Test Blocks</t>
  </si>
  <si>
    <t>MR653F</t>
  </si>
  <si>
    <t>MR652F</t>
  </si>
  <si>
    <t>Special Sprays &amp; Liquids</t>
  </si>
  <si>
    <t>MR765RF</t>
  </si>
  <si>
    <t>Animal Control</t>
  </si>
  <si>
    <t>Bird</t>
  </si>
  <si>
    <t>MR - SmartChoice, SC-20 (FD) - Solvent Cleaner (280ml)</t>
  </si>
  <si>
    <t>MR - SmartChoice, SC-20 (FD) - Solvent Cleaner (400ml)</t>
  </si>
  <si>
    <t>MR - SmartChoice, SC-20 (FD) - Solvent Cleaner (1L)</t>
  </si>
  <si>
    <t>MR - SmartChoice, SC-20 (FD) - Solvent Cleaner (5L)</t>
  </si>
  <si>
    <t>MR - SmartChoice, WP15 - Water Washale Penetrant - Red (400ml)</t>
  </si>
  <si>
    <t>WP-15</t>
  </si>
  <si>
    <t>MR - SmartChoice, WP15 - Water Washale Penetrant - Red (1L)</t>
  </si>
  <si>
    <t>MR - SmartChoice, WP15 - Water Washale Penetrant - Red (5L)</t>
  </si>
  <si>
    <t>Speciality Chemicals</t>
  </si>
  <si>
    <t>Pigments</t>
  </si>
  <si>
    <t>High Temperature Testing</t>
  </si>
  <si>
    <t>MR68H</t>
  </si>
  <si>
    <t>MR70H</t>
  </si>
  <si>
    <t>MR91H</t>
  </si>
  <si>
    <t>MR131</t>
  </si>
  <si>
    <t>3D Printing &amp; Scanning</t>
  </si>
  <si>
    <t>3D Scanning Sprays</t>
  </si>
  <si>
    <t>Sublimating </t>
  </si>
  <si>
    <t>MR673F</t>
  </si>
  <si>
    <t>MR99</t>
  </si>
  <si>
    <t>UV Technology</t>
  </si>
  <si>
    <t>Hand held Lamps</t>
  </si>
  <si>
    <t>MR81</t>
  </si>
  <si>
    <t>MR955</t>
  </si>
  <si>
    <t>Promotion</t>
  </si>
  <si>
    <t>Samples</t>
  </si>
  <si>
    <t>Ultrasonic Testing Gels</t>
  </si>
  <si>
    <t>Coupling Powder</t>
  </si>
  <si>
    <t>Piccolo-Pen MR70 Developer White Valve Pen</t>
  </si>
  <si>
    <t>Piccolo-Pen MR85 Remover Valve Pen</t>
  </si>
  <si>
    <t>Miscellaneous </t>
  </si>
  <si>
    <t>Student Kit - NDT (pack of 6)</t>
  </si>
  <si>
    <t>MR111HB, ECOLINE Magnetic Powder - Fluorescent  (1Kg - Individual Pack)</t>
  </si>
  <si>
    <t>Non Sublimating</t>
  </si>
  <si>
    <t>R&amp;D Services</t>
  </si>
  <si>
    <t>Riluminati</t>
  </si>
  <si>
    <t>3D Printing</t>
  </si>
  <si>
    <t>Resin</t>
  </si>
  <si>
    <t>Colour</t>
  </si>
  <si>
    <t>3D Scanning</t>
  </si>
  <si>
    <t>Dots</t>
  </si>
  <si>
    <t>na</t>
  </si>
  <si>
    <t>Automotive Care</t>
  </si>
  <si>
    <t>PRODUCT</t>
  </si>
  <si>
    <t>SKU 1</t>
  </si>
  <si>
    <t>3D Resin Development for ATTBLIME</t>
  </si>
  <si>
    <t>2511-</t>
  </si>
  <si>
    <t>Aquakleen - General Purpose Industrial Cleaner and Degreaser Water-Based Concentrate (5L) Can (HSN CODE 34029092)</t>
  </si>
  <si>
    <t>Aquakleen - General Purpose Industrial Cleaner and Degreaser Water-Based Concentrate (5L) Can (HSN CODE 34029092) Free Sample</t>
  </si>
  <si>
    <t>Aquakleen - General Purpose Industrial Cleaner and Degreaser Water-Based Concentrate (5L) Cans (HSN CODE 34029092)</t>
  </si>
  <si>
    <t>Articulation piece for articulated poles
for hand yoke MR® 56, MR® 56V42, MR® 56V110
1 set = 2 pieces</t>
  </si>
  <si>
    <t>ATTBLIME AB 24 (400ml) (HSN CODE 3212900050)</t>
  </si>
  <si>
    <t>Attblime AB ECO 1 Ltr (HSN CODE 32129000)</t>
  </si>
  <si>
    <t>ATTBLIME AB ZERO (400ml) (HSN CODE 3212900050)</t>
  </si>
  <si>
    <t>ATTBLIME AB ZERO (400ml) (HSN OCDE 32129000)</t>
  </si>
  <si>
    <t>ATTBLIME- AB2 (400ml) (HSN CODE 32064990)</t>
  </si>
  <si>
    <t>ATTBLIME- AB2 (400ml) (HSN CODE 32129000)</t>
  </si>
  <si>
    <t>ATTBLIME- AB2 (400ml) (HSN CODE 3212900050)</t>
  </si>
  <si>
    <t>ATTBLIME- AB2 (HSN CODE 32064990)</t>
  </si>
  <si>
    <t>ATTBLIME AB2G (1L) (HSN CODE 32129000)</t>
  </si>
  <si>
    <t>ATTBLIME AB2G (1L) (HSN CODE 3212900050)</t>
  </si>
  <si>
    <t>Attblime AB2-G, 5Ltr (HSN CODE 32129000)</t>
  </si>
  <si>
    <t>ATTBLIME- AB6 (400ml) (HSN CODE 32064990)</t>
  </si>
  <si>
    <t>ATTBLIME- AB6 (400ml) (HSN CODE 3212900050)</t>
  </si>
  <si>
    <t>ATTBLIME- AB6 (HSN CODE 32064990)</t>
  </si>
  <si>
    <t>ATTBLIME AB6G (1L) (HSN CODE 3212900050)</t>
  </si>
  <si>
    <t>Attblime AB6-G, 5Ltr (HSN CODE 32129000)</t>
  </si>
  <si>
    <t>ATTBLIME ABP (400ml) (HSN CODE 32129000)</t>
  </si>
  <si>
    <t>ATTBLIME ABP (400ml) (HSN CODE 3212900050)</t>
  </si>
  <si>
    <t>ATTBLIME ABPG (1L) (HSN CODE 32129000)</t>
  </si>
  <si>
    <t>ATTBLIME ABPG (1L) (HSN CODE 3212900050)</t>
  </si>
  <si>
    <t>Attblime ABX 400 ml (HSN CODE 32129000)</t>
  </si>
  <si>
    <t>Attblime ABX-G, 1 Ltr (HSN CODE 32129000)</t>
  </si>
  <si>
    <t>B1L Magnetic field strength meter MFM 200 incl. tangential-field probe, reference magnet, case (HSN CODE 90318020)</t>
  </si>
  <si>
    <t>Cellulose powder</t>
  </si>
  <si>
    <t>Cellulose powder (10kgs Bucket) (HSN CODE 39129090)</t>
  </si>
  <si>
    <t>Cellulose powder (15kgs Bucket) (HSN CODE 39129090)</t>
  </si>
  <si>
    <t>Cellulose powder (HSN CODE 39129090)</t>
  </si>
  <si>
    <t>CIF Basis</t>
  </si>
  <si>
    <t>Consultancy Charges</t>
  </si>
  <si>
    <t>Dammam shipment Ref. SIV87</t>
  </si>
  <si>
    <t>DELAYED WARHEOUSE CHARGES</t>
  </si>
  <si>
    <t>EECIFLUX PORTABLE ELECTRO MAGNETIC INSPECTION YOKE. Each With Flexible Leg Set, Power Cable, Carrying Bag, Instruction manual. (HSN CODE 85059029)</t>
  </si>
  <si>
    <t>Flaky Zinc - Cold Galvanize Spray, 'Bright Grade' (500ml) (HSN CODE 320649009999)</t>
  </si>
  <si>
    <t>Flaky Zinc - Cold Galvanize Spray, 'Bright Grade' (500ml) (HSN CODE 32089090)</t>
  </si>
  <si>
    <t>Flaky Zinc - Cold Galvanize Spray, 'Bright Grade' (500ml) (HSN CODE 32089090) (Sample)</t>
  </si>
  <si>
    <t>Flaky Zinc - Cold Galvanize Spray, 'Bright Grade' (500ml) (HSN CODE 32089090) Free Sample</t>
  </si>
  <si>
    <t>Flaky Zinc - Cold Galvanize Spray, 'Bright Grade' (500ml) (Pack of 10 cans) (HSN CODE 32089090)</t>
  </si>
  <si>
    <t>Flaky Zinc - Cold Galvanize Spray, 'Bright Grade' (500ml) (Pack of 20 cans) (HSN CODE 32089090)</t>
  </si>
  <si>
    <t>Flaky Zinc - Cold Galvanize Spray, 'Bright Grade' (500ml) (Replacement)</t>
  </si>
  <si>
    <t>Freight by Air (Door Delivery)</t>
  </si>
  <si>
    <t>Freight Charges (HSN CODE 32064990)</t>
  </si>
  <si>
    <t>Freight Charges against Inv No 1695</t>
  </si>
  <si>
    <t>Freight Charges for by road shipment to Advanced Industrial Inv No 1843</t>
  </si>
  <si>
    <t>G27-L Magnetic stripe card type 2000 for evaluation of fluorescent wet method baths, with scale (HSN CODE 90278080)</t>
  </si>
  <si>
    <t>G90-1 Axial probe P-A2 for Magnetic field meter MP-1000 (HSN CODE 90318080)</t>
  </si>
  <si>
    <t>G90-5 Precision calibration standard 180 A/cm for magnetic field meter MP-1000 (with certificate) (HSN CODE 85051100)</t>
  </si>
  <si>
    <t>G90L Magnetic Field Meter MP-1000 without probe, with probe cable and case, incl. calibration certificate (HSN CODE 90318080)</t>
  </si>
  <si>
    <t>GRA Graconol 5Ltr. (HSN CODE 32129000)</t>
  </si>
  <si>
    <t>Graconol "WM" 5 Ltr (HSN CODE 32129000)</t>
  </si>
  <si>
    <t>Insurance Charges</t>
  </si>
  <si>
    <t>K40 - Multifunctional Oil &amp; Lubricant for General Maintenance (500ml) (HSN CODE 32064990)</t>
  </si>
  <si>
    <t>K40 - Multifunctional Oil &amp; Lubricant for General Maintenance (500ml) (HSN CODE 32064990) (Sample)</t>
  </si>
  <si>
    <t>K40 - Multifunctional Oil &amp; Lubricant for General Maintenance (500ml) (HSN CODE 34039900)</t>
  </si>
  <si>
    <t>MR 454 UVA/Lux Check measuring instrument, with case (HSN CODE 90275000)</t>
  </si>
  <si>
    <t>MR® 158-R Magnetic powder concentrate fluorescent 1:50 water-suspendable 1 KG, round plastic bottle (HSN CODE 32064970)</t>
  </si>
  <si>
    <t>MR® 300 Corrosion inhibitor Addition to aqueous magnetic powder concentrates for additional increase of corrosion protection Non-labeling ECO-LINE 1 KG, round plastic bottle (HSN CODE 38112900)</t>
  </si>
  <si>
    <t>MR® 50 Hand yoke 230 Volt
with mounted adjustable poles,
with mounted cable connection,
Field strength pole distance
190/140/95 mm: 32/37/57 A/cm
Cable length 3 m (HSN CODE 85059029)</t>
  </si>
  <si>
    <t>MR® 50 Hand yoke 230 Volt
with mounted adjustable poles,
with mounted cable connection,
Field strength pole distance
190/140/95 mm: 32/37/57 A/cm
Cable length 3 m (HSN CODE 90275000)</t>
  </si>
  <si>
    <t>MR® 56 Wechselstrom-Handmagnet 230 V
with straight poles, with mounted cable connection
Field strength pole distance 160 mm: 60 A/cm
cable length 5 m</t>
  </si>
  <si>
    <t>MR® 68 H Penetrant red and  fluorescent, system "hot,  level 2 ,  500 ml Aerosol can [4G],  Customer tariff no.: 3204 1900</t>
  </si>
  <si>
    <t>MR® 68 NF Penetrant red and  fluorescent, level ,  500 ml Aerosol can [4},  Customer tariff no.: 3204 1900</t>
  </si>
  <si>
    <t>MR® 70 Developer white,  500 ml Aerosol can [4G],  Customer tariff no.: 3206 4970</t>
  </si>
  <si>
    <t>MR® 70 H Developer white,  system "hot",  500 ml Aerosol can [4G],  Customer tariff no.: 3206 4970</t>
  </si>
  <si>
    <t>MR® 71 Paint Remover, 500 ml Aerosol can [4G], Customer tariff no.: 3814 0090</t>
  </si>
  <si>
    <t>MR® 752 Special Ultrasonic coupling agent for temperature range from +10 to +350 degrees C 1 L, plastic can (HSN CODE 30067000)</t>
  </si>
  <si>
    <t>MR® 974 AN Quattro-Light UV LED lamp, IP 64
Battery and mains operation, 4x UV and 1x white light LED, Light cone Ø 20 cm, UVA ca. 45 W/m² ±10%, &lt;5 lx, Plug power supply, 5 m cable (HSN CODE 90275000)</t>
  </si>
  <si>
    <t>MR® 975 Quattro-Light UV LED lamp, IP 64
Battery and mains operation, 4x UV and 1x white light LED, Light cone Ø 20 cm, UVA ca. 45 W/m² ±10%, &lt;5 lx, Plug power supply, 5 m cable (HSN CODE 90275000)</t>
  </si>
  <si>
    <t>MR® 98 WAN Brilliant LED UV-LED-Lamp, 10° reflector, IP64, battery/mains operation 5x UV and 1x white light LED UVA ca. 25/45/120 W/m2, &lt;5 lx Light cone Ø 24cm, cable power supply, cable 5 m, without battery, Customer tariff no.: 9027 5000</t>
  </si>
  <si>
    <t>MR®68H, High Temperature Penetrant (400ml) (HSN CODE 32041990)</t>
  </si>
  <si>
    <t>MR®68H, Penetrant red and fluorescent, system "hot" (400ml) (HSN CODE 32041990)</t>
  </si>
  <si>
    <t>MR®68H, Penetrant red and fluorescent, system "hot" (400ml) (HSN CODE 32041990) Samples</t>
  </si>
  <si>
    <t>MR®68H, Penetrant red and fluorescent, system "hot" (400ml) (HSN CODE 320649009999)</t>
  </si>
  <si>
    <t>MR®68H, Penetrant red and fluorescent, system "hot" (HSN CODE 32041990)</t>
  </si>
  <si>
    <t>MR®70H, Developer white, system "hot" (400ml) (HSN CODE 32041990)</t>
  </si>
  <si>
    <t>MR®70H, Developer white, system "hot" (400ml) (HSN CODE 320649009999)</t>
  </si>
  <si>
    <t>MR®70H, Developer white, system "hot" (400ml) (HSN CODE 32064990)</t>
  </si>
  <si>
    <t>MR®70H, Developer white, system "hot" (400ml) (HSN CODE 32064990) Samples</t>
  </si>
  <si>
    <t>MR®70H, Developer white, system "hot" (HSN CODE 32064990)</t>
  </si>
  <si>
    <t>MR®70H, Developer white, system "hot"(400ml) (HSN CODE 32064990)</t>
  </si>
  <si>
    <t>MR®70H, High Temperature Developer (400ml)  (HSN CODE 32064990)</t>
  </si>
  <si>
    <t>MR®91H, High Temperature Remover (400ml)  (HSN CODE 32064990)</t>
  </si>
  <si>
    <t>MR®91H, Remover, system "hot" (400ml) (HSN CODE 32041990)</t>
  </si>
  <si>
    <t>MR®91H, Remover, system "hot" (400ml) (HSN CODE 32041990) Samples</t>
  </si>
  <si>
    <t>MR®91H, Remover, system "hot" (400ml) (HSN CODE 320649009999)</t>
  </si>
  <si>
    <t>MR®91H, Remover, system "hot" (400ml) (HSN CODE 32064990)</t>
  </si>
  <si>
    <t>MR®91H, Remover, system "hot" (HSN CODE 32064990)</t>
  </si>
  <si>
    <t>MR111HB , ECOLINE Magnetic Powder - Fluorescent (1/2Kg) (HSN CODE 32064990)</t>
  </si>
  <si>
    <t>MR111HB , ECOLINE Magnetic Powder - Fluorescent (1Kg) (HSN CODE 32041990)</t>
  </si>
  <si>
    <t>MR111HB , ECOLINE Magnetic Powder - Fluorescent (1Kg) (HSN CODE 32064990)</t>
  </si>
  <si>
    <t>MR114HB , Magnetic Powder Composition - Fluorescent (1Kg) (32064990)</t>
  </si>
  <si>
    <t>MR114HB , Magnetic Powder Composition - Fluorescent (1Kg) (Free Sample)</t>
  </si>
  <si>
    <t>MR114HB , Magnetic Powder Composition - Fluorescent (1Kg) (HSN CODE 32041990)</t>
  </si>
  <si>
    <t>MR114HB , Magnetic Powder Composition - Fluorescent (1Kg) (HSN CODE 320649009999)</t>
  </si>
  <si>
    <t>MR114HB , Magnetic Powder Composition - Fluorescent (1Kg) (HSN CODE 32064990)</t>
  </si>
  <si>
    <t>MR114HB , Magnetic Powder Composition - Fluorescent (1Kg) (HSN CODE 32064990) (Sample as a replacement)</t>
  </si>
  <si>
    <t>MR114HB , Magnetic Powder Composition - Fluorescent (1Kg) (Replacement)</t>
  </si>
  <si>
    <t>MR114HB , Magnetic Powder Composition - Fluorescent (1Kg) (Sample)</t>
  </si>
  <si>
    <t>MR158-R , ECOLINE Magnetic Powder Concentrate - Fluorescent (1L)  (HSN CODE 32064990)</t>
  </si>
  <si>
    <t>MR158-R , ECOLINE Magnetic Powder Concentrate - Fluorescent (1L) (HSN CODE 32041990)</t>
  </si>
  <si>
    <t>MR158-R , ECOLINE Magnetic Powder Concentrate - Fluorescent (1L) (HSN CODE 320649009999)</t>
  </si>
  <si>
    <t>MR158-R , ECOLINE Magnetic Powder Concentrate - Fluorescent (1L) (HSN CODE 32064990)</t>
  </si>
  <si>
    <t>MR158-R , ECOLINE Magnetic Powder Concentrate - Fluorescent (5L) (HSN CODE 32064990)</t>
  </si>
  <si>
    <t>MR158-R GF, Magnetic Powder Suspension Fluorescent, Water Based, Sediment 0.2-0.3ml (400 ml) (HSN CODE 32064990)</t>
  </si>
  <si>
    <t>MR158-R, ECOLINE Magnetic Powder Concentrate - Fluorescent (1L) (HSN CODE 320649009999) (Sample)</t>
  </si>
  <si>
    <t>MR214 , Magnetic Powder Composition - Black (1Kg) (HSN CODE 32064990)</t>
  </si>
  <si>
    <t>MR230 , Magnetic Powder, Dry - Red (1Kg) (72052900)</t>
  </si>
  <si>
    <t>MR230 , Magnetic Powder, Dry - Red (1Kg) (HSN CODE 320649009999)</t>
  </si>
  <si>
    <t>MR230 , Magnetic Powder, Dry - Red (1Kg) (HSN CODE 72052900)</t>
  </si>
  <si>
    <t>MR230 , Magnetic Powder, Dry - Red (1Kg) (HSN CODE 720529000000)</t>
  </si>
  <si>
    <t>MR230 , Magnetic Powder, Dry - Red (1Kg) (HSN CODE 72052910)</t>
  </si>
  <si>
    <t>MR230 , Magnetic Powder, Dry - Red (30Kg Bucket) (HSN CODE 72052900)</t>
  </si>
  <si>
    <t>MR230, Magnetic Powder, Dry - Red (1Kg) (HSN CODE 320649009999)</t>
  </si>
  <si>
    <t>MR232 , Magnetic Powder, Dry - Green (1Kg) (HSN CODE 72052910)</t>
  </si>
  <si>
    <t>MR233 , Magnetic Powder, Dry - Yellow (1Kg) (HSN CODE 72052900)</t>
  </si>
  <si>
    <t>MR233 , Magnetic Powder, Dry - Yellow (1Kg) (HSN CODE 72052910)</t>
  </si>
  <si>
    <t>MR233, Magnetic Powder, Dry - Yellow (1Kg) (HSN CODE 72052910)</t>
  </si>
  <si>
    <t>MR311-R , Penetrant - Red, Solvent and Water Removable (400 ml) (HSN CODE 320649009999)</t>
  </si>
  <si>
    <t>MR311-R , Penetrant - Red; Solvent &amp; Water Removable (400 ml) (Free Sample)</t>
  </si>
  <si>
    <t>MR311-R , Penetrant - Red; Solvent &amp; Water Removable (400 ml) (HSN CODE 32041990)</t>
  </si>
  <si>
    <t>MR311-R , Penetrant - Red; Solvent &amp; Water Removable (400 ml) (HSN CODE 320649009999)</t>
  </si>
  <si>
    <t>MR311-R , Penetrant - Red; Solvent &amp; Water Removable (400 ml) (HSN CODE 32064990)</t>
  </si>
  <si>
    <t>MR311-R , Penetrant - Red; Solvent &amp; Water Removable (520 ml)</t>
  </si>
  <si>
    <t>MR311-R , Penetrant - Red; Solvent &amp; Water Removable (520 ml) (HSN CODE 32041990)</t>
  </si>
  <si>
    <t>MR311-R , Penetrant - Red; Solvent &amp; Water Removable (5L Can) (HSN CODE 32041990)</t>
  </si>
  <si>
    <t>MR311-R , Penetrant - Red; Solvent &amp; Water Removable (5L) (HSN CODE 32041990)</t>
  </si>
  <si>
    <t>MR311-R AMS, Penetrant - Red; Solvent &amp; Water Removable (400 ml) (HSN CODE 320649009999)</t>
  </si>
  <si>
    <t>MR311-R, Penetrant - Red; Solvent &amp; Water Removable (400 ml) (HSN CODE 32041990)</t>
  </si>
  <si>
    <t>MR62 , Penetrant - Red; Solvent Removable (400 ml) (HSN CODE 32041990)</t>
  </si>
  <si>
    <t>MR62 , Penetrant - Red; Solvent Removable (400 ml) (HSN CODE 32042090)</t>
  </si>
  <si>
    <t>MR62 , Penetrant - Red; Solvent Removable (400 ml) (HSN CODE 320649009999)</t>
  </si>
  <si>
    <t>MR62 , Penetrant - Red; Solvent Removable (400ml) (HSN CODE 32041990)</t>
  </si>
  <si>
    <t>MR62 , Penetrant - Red; Solvent Removable (520 ml)</t>
  </si>
  <si>
    <t>MR62 , Penetrant - Red; Solvent Removable (5L) (HSN CODE 32041990)</t>
  </si>
  <si>
    <t>MR62 , Penetrant - Red; Solvent Removable 400 ml) (HSN CODE 32041990)</t>
  </si>
  <si>
    <t>MR653F Penetrant fluorescent (400ml) (HSN CODE 32042090)</t>
  </si>
  <si>
    <t>MR67 , ECOLINE Penetrant - Red; Solvent &amp; Water Removable (400ml) (HSN CODE 32041990)</t>
  </si>
  <si>
    <t>MR67 , ECOLINE Penetrant - Red; Solvent &amp; Water Removable (5L Can) (HSN CODE 32041990)</t>
  </si>
  <si>
    <t>MR67 , ECOLINE Penetrant - Red; Solvent &amp; Water Removable (5L) (32041990)</t>
  </si>
  <si>
    <t>MR67 , ECOLINE Penetrant - Red; Solvent &amp; Water Removable (5L) (HSN CODE 32041990)</t>
  </si>
  <si>
    <t>MR67 , ECOLINE Penetrant - Red; Solvent &amp; Water Removable (5L) Cans (HSN CODE 32041990)</t>
  </si>
  <si>
    <t>MR672F , Penetrant - Flourescent Level 2; Solvent &amp; Water Removable (400ml) (HSN CODE 32041990)</t>
  </si>
  <si>
    <t>MR672F , Penetrant - Flourescent Level 2; Solvent &amp; Water Removable (400ml) (HSN CODE 32042090)</t>
  </si>
  <si>
    <t>MR672F , Penetrant - Flourescent Level 2; Solvent &amp; Water Removable (400ml) (HSN CODE 32042090) (Free Samples)</t>
  </si>
  <si>
    <t>MR672F , Penetrant - Flourescent Level 2; Solvent &amp; Water Removable (400ml) (HSN CODE 32064990)</t>
  </si>
  <si>
    <t>MR672F , Penetrant - Flourescent Level 2; Solvent &amp; Water Removable (520ml)</t>
  </si>
  <si>
    <t>MR672F , Penetrant - Flourescent Level 2; Solvent &amp; Water Removable (5L) (HSN CODE 32042090)</t>
  </si>
  <si>
    <t>MR68NF , Penetrant - Red; Solvent &amp; Water Removable (1L) (HSN CODE 32041990)</t>
  </si>
  <si>
    <t>MR68NF , Penetrant - Red; Solvent &amp; Water Removable (400 ml) (Free Sample)</t>
  </si>
  <si>
    <t>MR68NF , Penetrant - Red; Solvent &amp; Water Removable (400 ml) (HSN CODE 32041990)</t>
  </si>
  <si>
    <t>MR68NF , Penetrant - Red; Solvent &amp; Water Removable (400 ml) (HSN CODE 32041990) (Free Sample)</t>
  </si>
  <si>
    <t>MR68NF , Penetrant - Red; Solvent &amp; Water Removable (400 ml) (HSN CODE 32041990) (Sample as a replacement)</t>
  </si>
  <si>
    <t>MR68NF , Penetrant - Red; Solvent &amp; Water Removable (400 ml) (HSN CODE 32041990`)</t>
  </si>
  <si>
    <t>MR68NF , Penetrant - Red; Solvent &amp; Water Removable (400 ml) (HSN CODE 32042090)</t>
  </si>
  <si>
    <t>MR68NF , Penetrant - Red; Solvent &amp; Water Removable (520 ml)</t>
  </si>
  <si>
    <t>MR68NF , Penetrant - Red; Solvent &amp; Water Removable (5L) (HSN CODE 32041990)</t>
  </si>
  <si>
    <t>MR68NF, Penetrant - Red; Solvent &amp; Water Removable (400 ml) (HSN CODE 320649009999)</t>
  </si>
  <si>
    <t>MR70 , Developer - White, Non Aqueous (400 ml)  (HSN CODE 32064990)</t>
  </si>
  <si>
    <t>MR70 , Developer - White, Non Aqueous (400 ml) (Free Sample)</t>
  </si>
  <si>
    <t>MR70 , Developer - White, Non Aqueous (400 ml) (HSN CDOE 32064990)</t>
  </si>
  <si>
    <t>MR70 , Developer - White, Non Aqueous (400 ml) (HSN CODE 32041990)</t>
  </si>
  <si>
    <t>MR70 , Developer - White, Non Aqueous (400 ml) (HSN CODE 32064990)</t>
  </si>
  <si>
    <t>MR70 , Developer - White, Non Aqueous (400 ml) (HSN CODE 32064990) (Free Sample)</t>
  </si>
  <si>
    <t>MR70 , Developer - White, Non Aqueous (520 ml)</t>
  </si>
  <si>
    <t>MR70 , Developer - White, Non Aqueous (5L Can) (HSN CODE 32064990)</t>
  </si>
  <si>
    <t>MR70 , Developer - White, Non Aqueous (5L) (HSN CODE 32064990)</t>
  </si>
  <si>
    <t>MR70 , Developer - White, Non Aqueous (5L) Cans (HSN CODE 32064990)</t>
  </si>
  <si>
    <t>MR70I , Developer - White, Non Aqueous (400 ml)  (HSN CODE 32064990)</t>
  </si>
  <si>
    <t>MR70I , Developer - White, Non Aqueous (400 ml) (Free Sample)</t>
  </si>
  <si>
    <t>MR70I , Developer - White, Non Aqueous (400 ml) (HSN CODE 32041990)</t>
  </si>
  <si>
    <t>MR70I , Developer - White, Non Aqueous (400 ml) (HSN CODE 32064900)</t>
  </si>
  <si>
    <t>MR70I , Developer - White, Non Aqueous (400 ml) (HSN CODE 320649009999)</t>
  </si>
  <si>
    <t>MR70I , Developer - White, Non Aqueous (400 ml) (HSN CODE 32064990)</t>
  </si>
  <si>
    <t>MR70I , Developer - White, Non Aqueous (400 ml) (HSN CODE 32064990) (Sample)</t>
  </si>
  <si>
    <t>MR70I , Developer - White, Non Aqueous (400 ml) (Replacement)</t>
  </si>
  <si>
    <t>MR70I , Developer - White, Non Aqueous (520 ml)</t>
  </si>
  <si>
    <t>MR70I , Developer - White, Non Aqueous (520 ml) (HSN CODE 32064990)</t>
  </si>
  <si>
    <t>MR70I , Developer - White, Non Aqueous (5L Can) (HSN CODE 32064990)</t>
  </si>
  <si>
    <t>MR70I , Developer - White, Non Aqueous (5L) (HSN CODE 32064990)</t>
  </si>
  <si>
    <t>MR70I, Developer - White, Non Aqueous (400 ml) (HSN CODE 320649009999)</t>
  </si>
  <si>
    <t>MR70I, Developer - White, Non Aqueous (400 ml) (HSN CODE 32064990)</t>
  </si>
  <si>
    <t>MR71 , Paint Remover (400 ml)  (HSN CODE 38140020) (Free Sample)</t>
  </si>
  <si>
    <t>MR71 , Paint Remover (400 ml) (HSN CODE 32064900)</t>
  </si>
  <si>
    <t>MR71 , Paint Remover (400 ml) (HSN CODE 32064990)</t>
  </si>
  <si>
    <t>MR71 , Paint Remover (400 ml) (HSN CODE 38140020)</t>
  </si>
  <si>
    <t>MR71 , Paint Remover (520 ml)</t>
  </si>
  <si>
    <t>MR72 , EZ - White Contrast (400 ml) (HSN CODE 32064990)</t>
  </si>
  <si>
    <t>MR72 , EZ- White Contrast (400 ml) (HSN CODE 320649009999)</t>
  </si>
  <si>
    <t>MR72 , White Contrast (400 ml) (HSN CODE 320649009999)</t>
  </si>
  <si>
    <t>MR72 , White Contrast Paint (400 ml) (HSN CODE 32041990)</t>
  </si>
  <si>
    <t>MR72 , White Contrast Paint (400 ml) (HSN CODE 320649009999)</t>
  </si>
  <si>
    <t>MR72 , White Contrast Paint (400 ml) (HSN CODE 32064990)</t>
  </si>
  <si>
    <t>MR72 , White Contrast Paint (400 ml) (HSN CODE 32089090)</t>
  </si>
  <si>
    <t>MR72 , White Contrast Paint (400 ml) (HSN OCDE 32089090)</t>
  </si>
  <si>
    <t>MR72 , White Contrast Paint (400 ml) (Replacement)</t>
  </si>
  <si>
    <t>MR72 , White Contrast Paint (5 ml)</t>
  </si>
  <si>
    <t>MR72 , White Contrast Paint (520 ml)</t>
  </si>
  <si>
    <t>MR72 , White Contrast Paint (5L Can) (HSN CODE 32089090)</t>
  </si>
  <si>
    <t>MR72 , White Contrast Paint (5L) (HSN CODE 32089090)</t>
  </si>
  <si>
    <t>MR72 , White Contrast Paint (EZ-HD) (400 ml) (HSN CODE 320649009999)</t>
  </si>
  <si>
    <t>MR72 EZ, White Contrast (400 ml) (HSN CODE 320649009999)</t>
  </si>
  <si>
    <t>MR72, White Contrast (400 ml) (HSN CODE 320649009999)</t>
  </si>
  <si>
    <t>MR72, White Contrast Paint (400 ml) (HSN CODE 32089090)</t>
  </si>
  <si>
    <t>MR72EZC White Contrast (Easy Clean) (400 ml) (HSN CODE 320649009999)</t>
  </si>
  <si>
    <t>MR72EZC White Contrast Paint (Easy Clean) (400 ml) (HSN CODE 21089090)</t>
  </si>
  <si>
    <t>MR72EZC White Contrast Paint (Easy Clean) (400 ml) (HSN CODE 320649009999)</t>
  </si>
  <si>
    <t>MR72EZC White Contrast Paint (Easy Clean) (400 ml) (HSN CODE 320890)</t>
  </si>
  <si>
    <t>MR72EZC White Contrast Paint (Easy Clean) (400 ml) (HSN CODE 32089090)</t>
  </si>
  <si>
    <t>MR72EZC White Contrast Paint (Easy Clean) (400 ml) Sample as Replacement</t>
  </si>
  <si>
    <t>MR72HD, White Contrast (400 ml) (HSN CODE 320649009999)</t>
  </si>
  <si>
    <t>MR72IN, White Contrast Paint (400 ml) (HSN CODE 320649009999)</t>
  </si>
  <si>
    <t>MR72ORG , White Contrast (400 ml) (HSN CODE 320649009999)</t>
  </si>
  <si>
    <t>MR72ORG , White Contrast Paint (400 ml) (HSN CODE 32089090) (Free Sample)</t>
  </si>
  <si>
    <t>MR761F , ECOLINE Magnetic Powder Suspension - Fluorescent (400 ml) (32064990)</t>
  </si>
  <si>
    <t>MR761F , ECOLINE Magnetic Powder Suspension - Fluorescent (400 ml) (HSN CODE 3206490)</t>
  </si>
  <si>
    <t>MR761F , ECOLINE Magnetic Powder Suspension - Fluorescent (400 ml) (HSN CODE 32064990)</t>
  </si>
  <si>
    <t>MR761F , ECOLINE Magnetic Powder Suspension - Fluorescent (520 ml)</t>
  </si>
  <si>
    <t>MR76F , Magnetic Powder Suspension - Fluorescent (400 ml) (Free Sample)</t>
  </si>
  <si>
    <t>MR76F , Magnetic Powder Suspension - Fluorescent (400 ml) (Free Sample/Replacement)</t>
  </si>
  <si>
    <t>MR76F , Magnetic Powder Suspension - Fluorescent (400 ml) (HSN CODE 32041990)</t>
  </si>
  <si>
    <t>MR76F , Magnetic Powder Suspension - Fluorescent (400 ml) (HSN CODE 3206490)</t>
  </si>
  <si>
    <t>MR76F , Magnetic Powder Suspension - Fluorescent (400 ml) (HSN CODE 32064900999)</t>
  </si>
  <si>
    <t>MR76F , Magnetic Powder Suspension - Fluorescent (400 ml) (HSN CODE 320649009999)</t>
  </si>
  <si>
    <t>MR76F , Magnetic Powder Suspension - Fluorescent (400 ml) (HSN CODE 32064990)</t>
  </si>
  <si>
    <t>MR76F , Magnetic Powder Suspension - Fluorescent (400 ml) (HSN CODE 32064990) (Free Sample)</t>
  </si>
  <si>
    <t>MR76F , Magnetic Powder Suspension - Fluorescent (400 ml) (HSN CODE 32064990) Free Sample</t>
  </si>
  <si>
    <t>MR76F , Magnetic Powder Suspension - Fluorescent (400 ml) (HSN CODE 32065990)</t>
  </si>
  <si>
    <t>MR76F , Magnetic Powder Suspension - Fluorescent (520 ml)</t>
  </si>
  <si>
    <t>MR76F , Magnetic Powder Suspension,  Fluorescent (400 ml) (HSN CODE 320649009999)</t>
  </si>
  <si>
    <t>MR76S , Magnetic Powder Suspension - Black (1KG)</t>
  </si>
  <si>
    <t>MR76S , Magnetic Powder Suspension - Black (400 ml)
 (HSN CODE 32064990)</t>
  </si>
  <si>
    <t>MR76S , Magnetic Powder Suspension - Black (400 ml) (32064990)</t>
  </si>
  <si>
    <t>MR76S , Magnetic Powder Suspension - Black (400 ml) (HSN CODE 32041990)</t>
  </si>
  <si>
    <t>MR76S , Magnetic Powder Suspension - Black (400 ml) (HSN CODE 32064900)</t>
  </si>
  <si>
    <t>MR76S , Magnetic Powder Suspension - Black (400 ml) (HSN CODE 320649009999)</t>
  </si>
  <si>
    <t>MR76S , Magnetic Powder Suspension - Black (400 ml) (HSN CODE 32064990)</t>
  </si>
  <si>
    <t>MR76S , Magnetic Powder Suspension - Black (400 ml) (HSN CODE 32064990) (Free Sample)</t>
  </si>
  <si>
    <t>MR76S , Magnetic Powder Suspension - Black (400 ml) (HSN CODE 32064990) Replacement</t>
  </si>
  <si>
    <t>MR76S , Magnetic Powder Suspension - Black (400 ml) (HSN CODE 32064990) Sample as Replacement</t>
  </si>
  <si>
    <t>MR76S , Magnetic Powder Suspension - Black (400 ml) (HSN CODE 32065990)</t>
  </si>
  <si>
    <t>MR76S , Magnetic Powder Suspension - Black (400 ml) (HSN CODE) Sample as Replacement</t>
  </si>
  <si>
    <t>MR76S , Magnetic Powder Suspension - Black (400 ml) (Replacement)</t>
  </si>
  <si>
    <t>MR76S , Magnetic Powder Suspension - Black (400 ml) Replacement</t>
  </si>
  <si>
    <t>MR76S , Magnetic Powder Suspension - Black (520 ml)</t>
  </si>
  <si>
    <t>MR76S, Magnetic Powder Suspension - Black (400 ml) (HSN CODE 32064990)</t>
  </si>
  <si>
    <t>MR76SH, Magnetic Powder Suspension, Black, System "hot", Sediment 0.6-1.0ml (400 ml) (HSN CODE 32064990)</t>
  </si>
  <si>
    <t>MR79 , Special Remover (400 ml)</t>
  </si>
  <si>
    <t>MR79 , Special Remover (400 ml) (HSN CODE 32041990)</t>
  </si>
  <si>
    <t>MR79 , Special Remover (400 ml) (HSN CODE 32042090)</t>
  </si>
  <si>
    <t>MR79 , Special Remover (400 ml) (HSN CODE 320649009999)</t>
  </si>
  <si>
    <t>MR79 , Special Remover (400 ml) (HSN CODE 32064990)</t>
  </si>
  <si>
    <t>MR79 , Special Remover (400 ml) (HSN CODE 38140020)</t>
  </si>
  <si>
    <t>MR79 , Special Remover (400 ml) (HSN CODE 38140020) (Free Sample)</t>
  </si>
  <si>
    <t>MR79 , Special Remover (520 ml) (HSN CODE 38140020)</t>
  </si>
  <si>
    <t>MR79, Special Remover (400 ml) (HSN CODE 38140020)</t>
  </si>
  <si>
    <t>MR81T-R , Dry Developer Powder (1Kg) (HSN CODE 32041990)</t>
  </si>
  <si>
    <t>MR81T-R , Dry Developer Powder (1Kg) (HSN CODE 32064990)</t>
  </si>
  <si>
    <t>MR81T-R , Dry Developer Powder (1Kg) (HSN CODE 38140020)</t>
  </si>
  <si>
    <t>MR82 , Flux Oil (25L) (HSN CODE 32064990)</t>
  </si>
  <si>
    <t>MR85 , Remover (400 ml)  (HSN CODE 32064990)</t>
  </si>
  <si>
    <t>MR85 , Remover (400 ml) () HSN CODE 32064990</t>
  </si>
  <si>
    <t>MR85 , Remover (400 ml) (Free Sample)</t>
  </si>
  <si>
    <t>MR85 , Remover (400 ml) (HSN CODE 32041990)</t>
  </si>
  <si>
    <t>MR85 , Remover (400 ml) (HSN CODE 32064900)</t>
  </si>
  <si>
    <t>MR85 , Remover (400 ml) (HSN CODE 320649009999)</t>
  </si>
  <si>
    <t>MR85 , Remover (400 ml) (HSN CODE 32064990)</t>
  </si>
  <si>
    <t>MR85 , Remover (400 ml) (HSN CODE 32064990) (Free Sample)</t>
  </si>
  <si>
    <t>MR85 , Remover (400 ml) (Replacement)</t>
  </si>
  <si>
    <t>MR85 , Remover (520 ml)</t>
  </si>
  <si>
    <t>MR85 , Remover (5L) (HSN CODE 32064990)</t>
  </si>
  <si>
    <t>MR96D - UV LED flashlight</t>
  </si>
  <si>
    <t>MR974 AN UV Lamp(Service)</t>
  </si>
  <si>
    <t>MR974 AN UV Lamp, With Battery &amp; 5m Cable</t>
  </si>
  <si>
    <t>Nano Scan Liquid (10ml) (HSN CODE 3212900050)</t>
  </si>
  <si>
    <t>Piccolo Pen MR68C Penetrant Red &amp; Fluorescent, Valve Pen [4G] (HSN CODE 320649009999)</t>
  </si>
  <si>
    <t>Piccolo Pen MR70 Developer, Valve Pen [4G] (HSN CODE 320649009999)</t>
  </si>
  <si>
    <t>Piccolo Pen MR85 Remover, Valve Pen [4G] (HSN CODE 320649009999)</t>
  </si>
  <si>
    <t>Pole 45° for hand yoke
MR® 56, MR® 56V42, MR® 56V110
1 set = 2 pieces</t>
  </si>
  <si>
    <t>R&amp;D Expense - Lab Equipment</t>
  </si>
  <si>
    <t>R&amp;D Expense - Salary</t>
  </si>
  <si>
    <t>Ref. Block Type 1 scc. to EN ISO 9934-2 (MTU 3) (HSN CODE 90278080)</t>
  </si>
  <si>
    <t>Ref. Test Block JIS Z2343 2 panel 30 micr (HSN CODE 90278080)</t>
  </si>
  <si>
    <t>Rodent Stopper (400ml) (HSN CODE 32089090)</t>
  </si>
  <si>
    <t>Shipping &amp; Freight Charges</t>
  </si>
  <si>
    <t>Shipping and Delivery Charges</t>
  </si>
  <si>
    <t>Special Ultrasonic Coupling Agent (250ml)</t>
  </si>
  <si>
    <t>Student Kit - NDT (pack of 6) (HSN CODE 32064990)</t>
  </si>
  <si>
    <t>Trade Surcharge</t>
  </si>
  <si>
    <t>Transportation</t>
  </si>
  <si>
    <t>Transportation charge</t>
  </si>
  <si>
    <t>Warehouse Handling (D.G2.1)</t>
  </si>
  <si>
    <t>Product Manufacturig Reference</t>
  </si>
  <si>
    <t>Batch Size</t>
  </si>
  <si>
    <t>Big Batch Size</t>
  </si>
  <si>
    <t>BomNo</t>
  </si>
  <si>
    <t>Package Type</t>
  </si>
  <si>
    <t>Box Type</t>
  </si>
  <si>
    <t>Case Qty</t>
  </si>
  <si>
    <t>Haze Class</t>
  </si>
  <si>
    <t>Old SKU Number</t>
  </si>
  <si>
    <t>Royalty</t>
  </si>
  <si>
    <t>Non Destructive Testing</t>
  </si>
  <si>
    <t>BULK 5L</t>
  </si>
  <si>
    <t>JAR J1</t>
  </si>
  <si>
    <t>NON DG</t>
  </si>
  <si>
    <t>BULK 1KG</t>
  </si>
  <si>
    <t>BOX A1</t>
  </si>
  <si>
    <t>BULK 1L</t>
  </si>
  <si>
    <t>BOX B1</t>
  </si>
  <si>
    <t>BOX B2</t>
  </si>
  <si>
    <t>BULK 205L</t>
  </si>
  <si>
    <t>BAR L1</t>
  </si>
  <si>
    <t>DG 3</t>
  </si>
  <si>
    <t>PICCOLO PEN</t>
  </si>
  <si>
    <t>BOX CL</t>
  </si>
  <si>
    <t>BULK 1/2KG</t>
  </si>
  <si>
    <t>MR72 OR</t>
  </si>
  <si>
    <t>AEROSOL 400ML</t>
  </si>
  <si>
    <t>UN1950</t>
  </si>
  <si>
    <t>BULK 20L</t>
  </si>
  <si>
    <t>JAR J2</t>
  </si>
  <si>
    <t>MR72 EZ</t>
  </si>
  <si>
    <t>MR72 HD</t>
  </si>
  <si>
    <t>MR72 AU</t>
  </si>
  <si>
    <t>MR72 IN</t>
  </si>
  <si>
    <t>BULK 25L</t>
  </si>
  <si>
    <t>JAR J3</t>
  </si>
  <si>
    <t>BULK 200L</t>
  </si>
  <si>
    <t>SmartChoice</t>
  </si>
  <si>
    <t>AEROSOL 500ML</t>
  </si>
  <si>
    <t>BOX A5</t>
  </si>
  <si>
    <t>ELECTRICAL</t>
  </si>
  <si>
    <t>BOX CE</t>
  </si>
  <si>
    <t>JAR J6</t>
  </si>
  <si>
    <t>Concentrates</t>
  </si>
  <si>
    <t>Aquakleen Conc.</t>
  </si>
  <si>
    <t>ACCESSORY</t>
  </si>
  <si>
    <t>DG 8</t>
  </si>
  <si>
    <t>BULK 5KG</t>
  </si>
  <si>
    <t>BOX A3</t>
  </si>
  <si>
    <t>2511-0119</t>
  </si>
  <si>
    <t>Klyde Flaky Zinc Spray 'Chrome Finish' (400ml)</t>
  </si>
  <si>
    <t>AEROSOL 280ML</t>
  </si>
  <si>
    <t>BOX A4</t>
  </si>
  <si>
    <t>BULK 210L</t>
  </si>
  <si>
    <t>WCP40</t>
  </si>
  <si>
    <t>MIK80</t>
  </si>
  <si>
    <t>BULK 30L</t>
  </si>
  <si>
    <t>JAR J4</t>
  </si>
  <si>
    <t>PP25</t>
  </si>
  <si>
    <t>BOX A2</t>
  </si>
  <si>
    <t>BOX A7</t>
  </si>
  <si>
    <t>JAR J7</t>
  </si>
  <si>
    <t>BOX A8</t>
  </si>
  <si>
    <t>BOX B3</t>
  </si>
  <si>
    <t>JAR J5</t>
  </si>
  <si>
    <t>RTU</t>
  </si>
  <si>
    <t>Aquakleen RTU</t>
  </si>
  <si>
    <t>MR70I EZ</t>
  </si>
  <si>
    <t>Management Services</t>
  </si>
  <si>
    <t>BULK 50ML</t>
  </si>
  <si>
    <t>Rust Remover</t>
  </si>
  <si>
    <t>AEROSOL 100ML</t>
  </si>
  <si>
    <t>MR72 IN (R)</t>
  </si>
  <si>
    <t>Dental</t>
  </si>
  <si>
    <t>Sample</t>
  </si>
  <si>
    <t>MR68NF, Biodegradable Penetrant – Red &amp; Fluorescent; Solvent &amp; Water Removable (400ml) (Piccolo-Pen)</t>
  </si>
  <si>
    <t>Non Revenue</t>
  </si>
  <si>
    <t>Dummy</t>
  </si>
  <si>
    <t>BULK 20KG</t>
  </si>
  <si>
    <t>Generic Chemical</t>
  </si>
  <si>
    <t>2511-0114</t>
  </si>
  <si>
    <t>MR114HB, Magnetic Powder Composition - Fluorescent 'high brilliance' (50 Kg)</t>
  </si>
  <si>
    <t>2511-0206</t>
  </si>
  <si>
    <t>Cellulose Powder (10 kg)</t>
  </si>
  <si>
    <t>2511-0209</t>
  </si>
  <si>
    <t>MR757, One Pack UT Coupling Powder (55g)</t>
  </si>
  <si>
    <t>2511-0210</t>
  </si>
  <si>
    <t>MR757, One Pack UT Coupling Powder (225g)</t>
  </si>
  <si>
    <t>2511-0284</t>
  </si>
  <si>
    <t>Tam Panel Polished</t>
  </si>
  <si>
    <t>2511-0285</t>
  </si>
  <si>
    <t>Tam Panel Grit</t>
  </si>
  <si>
    <t>2511-0286</t>
  </si>
  <si>
    <t>Five Star Block (Type-2)</t>
  </si>
  <si>
    <t>2511-0287</t>
  </si>
  <si>
    <t>EF-2Y-230V AC Yoke</t>
  </si>
  <si>
    <t>2511-0288</t>
  </si>
  <si>
    <t>UV LED Torch without battery</t>
  </si>
  <si>
    <t>2511-0289</t>
  </si>
  <si>
    <t>PY -1 Permanent Magnetic Yoke</t>
  </si>
  <si>
    <t>2511-0290</t>
  </si>
  <si>
    <t>PY - 2 Permanent Magnetic Yoke</t>
  </si>
  <si>
    <t>2511-0291</t>
  </si>
  <si>
    <t>Magnetic Field Strength Meter MFM 200</t>
  </si>
  <si>
    <t>2511-0292</t>
  </si>
  <si>
    <t>Articulation piece for articulated poles, for hand yoke MR® 56, MR® 56V42 MR® 56V110, 1 set = 2 piec</t>
  </si>
  <si>
    <t>2511-0293</t>
  </si>
  <si>
    <t>Contact pole for hand yoke MR® 56, MR® 56V42, MR® 56V110 1 set = 2 pieces</t>
  </si>
  <si>
    <t>2511-0294</t>
  </si>
  <si>
    <t>MR56 -1</t>
  </si>
  <si>
    <t>2511-0140</t>
  </si>
  <si>
    <t>Klyde K226 - Multi-Purpose Electrical Lubricant (500ml)</t>
  </si>
  <si>
    <t>2511-0148</t>
  </si>
  <si>
    <t>MR672F, Penetrant - Fluorescent Level 2; Solvent &amp; Water Removable  (25L)</t>
  </si>
  <si>
    <t>2511-0149</t>
  </si>
  <si>
    <t>MR311-R (LD), Penetrant - Red; Solvent &amp; Water Removable  (5L)</t>
  </si>
  <si>
    <t>2511-0152</t>
  </si>
  <si>
    <t>MR670F, Penetrant - Flourescent Level 0.5; Solvent &amp; Water Removable (Piccolo-Pen)</t>
  </si>
  <si>
    <t>2511-0157</t>
  </si>
  <si>
    <t>MR72 US, White Contrast Background (400 ml)</t>
  </si>
  <si>
    <t>2511-0159</t>
  </si>
  <si>
    <t>MR76F US, Magnetic Powder Suspension - Fluorescent  (400 ml)</t>
  </si>
  <si>
    <t>2511-0174</t>
  </si>
  <si>
    <t>MR79 US, Special Remover  (400 ml)</t>
  </si>
  <si>
    <t>2511-0175</t>
  </si>
  <si>
    <t>MR - SmartChoice, WCP40 White Contrast Background (500 ml)</t>
  </si>
  <si>
    <t>2511-0176</t>
  </si>
  <si>
    <t>MR72 JP, White Contrast Background (400 ml)</t>
  </si>
  <si>
    <t>2511-0177</t>
  </si>
  <si>
    <t>MR76S JP, Magnetic Powder Suspension - Black (400 ml)</t>
  </si>
  <si>
    <t>2511-0178</t>
  </si>
  <si>
    <t>MR76F JP, Magnetic Powder Suspension - Fluorescent  (400 ml)</t>
  </si>
  <si>
    <t>2511-0180</t>
  </si>
  <si>
    <t>MR - SmartChoice, MIK80 Magnetic Ink Black (500 ml)</t>
  </si>
  <si>
    <t>2511-0181</t>
  </si>
  <si>
    <t>MR79 JP, Special Remover  (400 ml)</t>
  </si>
  <si>
    <t>2511-0185</t>
  </si>
  <si>
    <t>MR76S US, Magnetic Powder Suspension - Black (400 ml)</t>
  </si>
  <si>
    <t>2511-0208</t>
  </si>
  <si>
    <t>MR88; Remover (Acetone free) (Piccolo-Pen)</t>
  </si>
  <si>
    <t>MR88</t>
  </si>
  <si>
    <t>2511-0211</t>
  </si>
  <si>
    <t>MR757 1kg OLD - DO NOT USE</t>
  </si>
  <si>
    <t>2511-0212</t>
  </si>
  <si>
    <t>MR757, One Pack UT Coupling Powder (1 kg)</t>
  </si>
  <si>
    <t>2511-0233</t>
  </si>
  <si>
    <t>MR757 Y, One Pack UT Coupling Powder (yellow) (30 kg)</t>
  </si>
  <si>
    <t>2511-0238</t>
  </si>
  <si>
    <t>Klyde Rust Wipe (25L)</t>
  </si>
  <si>
    <t>2511-0295</t>
  </si>
  <si>
    <t>MR88, Remover (Acetone free) (400 ml)</t>
  </si>
  <si>
    <t>2511-0296</t>
  </si>
  <si>
    <t>Graconol Plus</t>
  </si>
  <si>
    <t>CNC Coolant</t>
  </si>
  <si>
    <t>2511-0297</t>
  </si>
  <si>
    <t>Attblime Dental Scanning spray 200ml</t>
  </si>
  <si>
    <t>2511-0298</t>
  </si>
  <si>
    <t>2511-0299</t>
  </si>
  <si>
    <t>2511-0301</t>
  </si>
  <si>
    <t>Reference Block Type 2</t>
  </si>
  <si>
    <t>2511-0302</t>
  </si>
  <si>
    <t>MR® 67 Penetrant red and fluorescent(Jumbo- Pen)</t>
  </si>
  <si>
    <t>2511-0303</t>
  </si>
  <si>
    <t>MR 703 W Developer white(Jumbo-Pen)</t>
  </si>
  <si>
    <t>MR703W</t>
  </si>
  <si>
    <t>2511-0304</t>
  </si>
  <si>
    <t>MR68 C Penetrant red and fluorescent(Piccolo- Pen)</t>
  </si>
  <si>
    <t>MR68C</t>
  </si>
  <si>
    <t>2511-0305</t>
  </si>
  <si>
    <t>Exhibition Material</t>
  </si>
  <si>
    <t>Events kit</t>
  </si>
  <si>
    <t>2511-0306</t>
  </si>
  <si>
    <t>MRG, MR68 NF Penetrant red and fluorescent (500ml)</t>
  </si>
  <si>
    <t>2511-0307</t>
  </si>
  <si>
    <t>MRG, MR68 NF Penetrant red and fluorescent (5L)</t>
  </si>
  <si>
    <t>2511-0308</t>
  </si>
  <si>
    <t>MRG, MR70 AMS Developer white (500ml)</t>
  </si>
  <si>
    <t>2511-0309</t>
  </si>
  <si>
    <t>MRG: MR71 Paint Remover (500ml)</t>
  </si>
  <si>
    <t>2511-0310</t>
  </si>
  <si>
    <t>MRG, MR72 White Contrast Paint (500 ML)</t>
  </si>
  <si>
    <t>2511-0311</t>
  </si>
  <si>
    <t>MRG, MR76S Version S Magnetic powder suspension black (500ML)</t>
  </si>
  <si>
    <t>2511-0312</t>
  </si>
  <si>
    <t>MRG, MR88 AMS Remover (500ml)</t>
  </si>
  <si>
    <t>2511-0313</t>
  </si>
  <si>
    <t>MR653F, Penetrant - Flourescent Level 3; Solvent &amp; Water Removable (1 L)</t>
  </si>
  <si>
    <t>2511-0314</t>
  </si>
  <si>
    <t>MR653F, Penetrant - Flourescent Level 3; Solvent &amp; Water Removable (5 L)</t>
  </si>
  <si>
    <t>2511-0315</t>
  </si>
  <si>
    <t>Klyde Weld Kleen Anti Spatter Fluid (500ml)</t>
  </si>
  <si>
    <t>Anti Spatter</t>
  </si>
  <si>
    <t>2511-0316</t>
  </si>
  <si>
    <t>TEST BODY ACC. PROF.BERTHOLD</t>
  </si>
  <si>
    <t>2511-0317</t>
  </si>
  <si>
    <t>MR652F, Penetrant - Flourescent Level 2; Solvent &amp; Water Removable  (1 L)</t>
  </si>
  <si>
    <t>2511-0318</t>
  </si>
  <si>
    <t>CX-430 Quantitative Quality Indicator - Standard, flaw depth of 30% of shim thickness 0.004"</t>
  </si>
  <si>
    <t>2511-0320</t>
  </si>
  <si>
    <t>Puffer Bulb</t>
  </si>
  <si>
    <t>2511-0321</t>
  </si>
  <si>
    <t>75Kva Power Source Unit (60 V Output)</t>
  </si>
  <si>
    <t>Radiography Accessories &amp; HT</t>
  </si>
  <si>
    <t>RT/HT Accessories</t>
  </si>
  <si>
    <t>2511-0322</t>
  </si>
  <si>
    <t>Ceramic Heater 60 Voil Cp10</t>
  </si>
  <si>
    <t>2511-0323</t>
  </si>
  <si>
    <t>4 Way Splitter Cable - 16 Mm Square ( 1Mtr. Long|) Hofr ( Black)</t>
  </si>
  <si>
    <t>2511-0324</t>
  </si>
  <si>
    <t>Triple Cable Set - 2 Core * 25Mm Sq. 25 Mtr. Long Hofr</t>
  </si>
  <si>
    <t>2511-0325</t>
  </si>
  <si>
    <t>Nickel Chrome Ni/Ch 80/20 *19 Strands Mtr</t>
  </si>
  <si>
    <t>2511-0326</t>
  </si>
  <si>
    <t>4 Way Splitter Cable - 16Mm Square (1 Mtr. Long Hofr (Orange)</t>
  </si>
  <si>
    <t>2511-0327</t>
  </si>
  <si>
    <t>Ceramic Heater Cp12 60V</t>
  </si>
  <si>
    <t>2511-0328</t>
  </si>
  <si>
    <t>Nickel 212 Wire 19 Strand (100 Mtr/Roll)</t>
  </si>
  <si>
    <t>2511-0329</t>
  </si>
  <si>
    <t>300 Female Panel Mounted Connector</t>
  </si>
  <si>
    <t>2511-0330</t>
  </si>
  <si>
    <t>300 Ampcamlock (Female)</t>
  </si>
  <si>
    <t>2511-0331</t>
  </si>
  <si>
    <t>300 Amo Female High Temperature Sleeve</t>
  </si>
  <si>
    <t>2511-0332</t>
  </si>
  <si>
    <t>300Amp Fiber Pin</t>
  </si>
  <si>
    <t>2511-0333</t>
  </si>
  <si>
    <t>300 Amp Camlock (Male)</t>
  </si>
  <si>
    <t>2511-0334</t>
  </si>
  <si>
    <t>300 Amp Male High Temperature Sleeve</t>
  </si>
  <si>
    <t>2511-0335</t>
  </si>
  <si>
    <t>300 Amp Fiber Pin</t>
  </si>
  <si>
    <t>2511-0336</t>
  </si>
  <si>
    <t>60 Amp Camlock (Female)</t>
  </si>
  <si>
    <t>2511-0337</t>
  </si>
  <si>
    <t>60 Amp Female High Temperature Sleeves</t>
  </si>
  <si>
    <t>2511-0338</t>
  </si>
  <si>
    <t>60 Amp Fiber Pin</t>
  </si>
  <si>
    <t>2511-0339</t>
  </si>
  <si>
    <t>60 Amp Camlock (Male)</t>
  </si>
  <si>
    <t>2511-0340</t>
  </si>
  <si>
    <t>60 Amp Male High Temperature Sleeves</t>
  </si>
  <si>
    <t>2511-0341</t>
  </si>
  <si>
    <t>Thermocouple Plug Type K In Yellow (Male)</t>
  </si>
  <si>
    <t>2511-0342</t>
  </si>
  <si>
    <t>Thermocouple Socket Type K In Yellow (Female)</t>
  </si>
  <si>
    <t>2511-0343</t>
  </si>
  <si>
    <t>Compensating Cable 14/36 (100 Mtrs)</t>
  </si>
  <si>
    <t>2511-0344</t>
  </si>
  <si>
    <t>Thermocouple Wire K Type 0.71Mm (100Mtr Long) 800</t>
  </si>
  <si>
    <t>2511-0345</t>
  </si>
  <si>
    <t>Strip Chart Paper</t>
  </si>
  <si>
    <t>2511-0346</t>
  </si>
  <si>
    <t>Attachment Unit With Magnet&amp; Plier ( With Battery) [230V]</t>
  </si>
  <si>
    <t>2511-0347</t>
  </si>
  <si>
    <t>PVC4 Cassettes Size : 10*20Cm (Inner&amp; Outer ) (33 Micron)</t>
  </si>
  <si>
    <t>2511-0348</t>
  </si>
  <si>
    <t>PVC Cassettes Size : 10*40Cm (Inner&amp; Outer ) (33 Micron)</t>
  </si>
  <si>
    <t>2511-0349</t>
  </si>
  <si>
    <t>Lead Marker Tape - 10 Cm Spacing, 10 Mtr. Long</t>
  </si>
  <si>
    <t>2511-0350</t>
  </si>
  <si>
    <t>Lead Letter A To Z Size: 7Mm*Thk.2Mm (Punching Type)</t>
  </si>
  <si>
    <t>2511-0351</t>
  </si>
  <si>
    <t>Lead Letter A To Z Size: 7Mm*Thk.2Mm (Casting Type)</t>
  </si>
  <si>
    <t>2511-0352</t>
  </si>
  <si>
    <t>Lead Number 0 To 9 Size: 7Mm*Thk.2Mm (Punching Type)</t>
  </si>
  <si>
    <t>2511-0353</t>
  </si>
  <si>
    <t>Lead Number 0 To 9 Size: 7Mm*Thk.2Mm (Casting Type)</t>
  </si>
  <si>
    <t>2511-0354</t>
  </si>
  <si>
    <t>Wire Type Pene. 6Feen (50Mm)</t>
  </si>
  <si>
    <t>2511-0355</t>
  </si>
  <si>
    <t>Wire Type Pene. 10Feen (50Mm)</t>
  </si>
  <si>
    <t>2511-0356</t>
  </si>
  <si>
    <t>Wire Type Pene. 13Feen (50Mm)</t>
  </si>
  <si>
    <t>2511-0357</t>
  </si>
  <si>
    <t>Lead Marker Box (Plastic) Red</t>
  </si>
  <si>
    <t>2511-0358</t>
  </si>
  <si>
    <t>SS Holling Channel Type Hanger - 10*40 (3In1)</t>
  </si>
  <si>
    <t>2511-0359</t>
  </si>
  <si>
    <t>SS Holling Channel Type Hanger - 10*20 (3In1)</t>
  </si>
  <si>
    <t>2511-0360</t>
  </si>
  <si>
    <t>Corner Cutter</t>
  </si>
  <si>
    <t>2511-0361</t>
  </si>
  <si>
    <t>Lead Intensifying Screen(0.125Mm) Size: 10*40Cm (Packing In 25 Pack)</t>
  </si>
  <si>
    <t>2511-0362</t>
  </si>
  <si>
    <t>Lead Intensifying Screen(0.125Mm) Size: 10*20Cm (Packing In 25 Pack)</t>
  </si>
  <si>
    <t>2511-0363</t>
  </si>
  <si>
    <t>SVK-RT Machine Spares</t>
  </si>
  <si>
    <t>2511-0364</t>
  </si>
  <si>
    <t>MR751 Special Ultrasonic Coupling Agent Strippable Water Soluble (250 ml)</t>
  </si>
  <si>
    <t>Gel</t>
  </si>
  <si>
    <t>2511-0365</t>
  </si>
  <si>
    <t>BHEL Test Plate</t>
  </si>
  <si>
    <t>2511-0367</t>
  </si>
  <si>
    <t>Business management services </t>
  </si>
  <si>
    <t>General Services</t>
  </si>
  <si>
    <t>2511-0153</t>
  </si>
  <si>
    <t>MR62 US, Penetrant - Red; Solvent Removable  (400 ml)</t>
  </si>
  <si>
    <t>2511-0182</t>
  </si>
  <si>
    <t>MR70I US, Developer - White, Non Aqueous (400 ml)</t>
  </si>
  <si>
    <t>2511-0183</t>
  </si>
  <si>
    <t>MR311-R US, Penetrant - Red; Solvent &amp; Water Removable  (400 ml)</t>
  </si>
  <si>
    <t>2511-0370</t>
  </si>
  <si>
    <t>EF-9Y, LIGHT WEIGHT SELECTABLE AC/HWDC MAGNETIZING MODES  230 V. </t>
  </si>
  <si>
    <t>2511-0372</t>
  </si>
  <si>
    <t>MR72 KR, White Contrast Background (400 ml)</t>
  </si>
  <si>
    <t>2511-0373</t>
  </si>
  <si>
    <t>MR76S KR, Magnetic Powder Suspension - Black (400 ml)</t>
  </si>
  <si>
    <t>2511-0374</t>
  </si>
  <si>
    <t>MR79 KR, Special Remover  (400 ml)</t>
  </si>
  <si>
    <t>2511-0375</t>
  </si>
  <si>
    <t>MR76F KR, Magnetic Powder Suspension - Fluorescent  (400 ml)</t>
  </si>
  <si>
    <t>2511-0376</t>
  </si>
  <si>
    <t>MR62 KR, Penetrant - Red; Solvent Removable  (400 ml)</t>
  </si>
  <si>
    <t>2511-0377</t>
  </si>
  <si>
    <t>MR311-R JP AMS, Penetrant - Red; Solvent &amp; Water Removable  (400 ml)</t>
  </si>
  <si>
    <t>2511-0378</t>
  </si>
  <si>
    <t>MR70I KR, Developer - White, Non Aqueous (400 ml)</t>
  </si>
  <si>
    <t>2511-0379</t>
  </si>
  <si>
    <t>Klyde K40 - Multifunctional Oil &amp; Lubricant (General Maintainence) (330ml)</t>
  </si>
  <si>
    <t>2511-0380</t>
  </si>
  <si>
    <t>Klyde Weld Kleen Anti Spatter Fluid (5L)</t>
  </si>
  <si>
    <t>2511-0381</t>
  </si>
  <si>
    <t>Resinwork Model 3 Aquaforge (grey) - IPA &amp; Water washable 3D photopolymer resin (1 kg)</t>
  </si>
  <si>
    <t>2511-0382</t>
  </si>
  <si>
    <t>MR752 Special Ultrasonic Coupling Agent</t>
  </si>
  <si>
    <t>2511-0383</t>
  </si>
  <si>
    <t>Magnetis II</t>
  </si>
  <si>
    <t>2511-0384</t>
  </si>
  <si>
    <t>Anti Spatter Fluid (white label) (5L)</t>
  </si>
  <si>
    <t>2511-0385</t>
  </si>
  <si>
    <t>MR673F, Penetrant - Flourescent Level 2; Solvent &amp; Water Removable (Piccolo-Pen)</t>
  </si>
  <si>
    <t>2511-0386</t>
  </si>
  <si>
    <t>MRG, MR822 Coupling Oil (500 ML)</t>
  </si>
  <si>
    <t>2511-0387</t>
  </si>
  <si>
    <t>MR5-6Y AC Magnetic Yoke 230V 50-60 Hz, 1 Phase</t>
  </si>
  <si>
    <t>2511-0388</t>
  </si>
  <si>
    <t>2511-0389</t>
  </si>
  <si>
    <t>Resinwork Model 3 Aquaforge (white) - IPA &amp; Water washable 3D photopolymer resin (4 X 1 kg)</t>
  </si>
  <si>
    <t>2511-0390</t>
  </si>
  <si>
    <t>Klyde Weld Kleen Anti Spatter Fluid (1L)</t>
  </si>
  <si>
    <t>2511-0392</t>
  </si>
  <si>
    <t>UV-Contrast Control Spectacles</t>
  </si>
  <si>
    <t>Accessories</t>
  </si>
  <si>
    <t>2511-0393</t>
  </si>
  <si>
    <t>MR454 UVA/Lux Check measuring instrument</t>
  </si>
  <si>
    <t>2511-0394</t>
  </si>
  <si>
    <t>MAGNETIC FIELD METER MP-1000</t>
  </si>
  <si>
    <t>2511-0395</t>
  </si>
  <si>
    <t>Spray handle for Aerosols</t>
  </si>
  <si>
    <t>2511-0396</t>
  </si>
  <si>
    <t>Pressure Pump Sprayer 1.5 L</t>
  </si>
  <si>
    <t>2511-0398</t>
  </si>
  <si>
    <t>Safety Transformer 42-V</t>
  </si>
  <si>
    <t>2511-0399</t>
  </si>
  <si>
    <t>Switch for Hand Yoke MR 56</t>
  </si>
  <si>
    <t>2511-0400</t>
  </si>
  <si>
    <t>MR 56V42 hand yoke 42 volt</t>
  </si>
  <si>
    <t>2511-0401</t>
  </si>
  <si>
    <t>ASTM Wire Type Pene. 1B - 11 (50mm/25mm) - Top </t>
  </si>
  <si>
    <t>2511-0402</t>
  </si>
  <si>
    <t>ASTM Wire Type Pene. 1C - 16 (50mm/25mm) - Top / T /B</t>
  </si>
  <si>
    <t>2511-0403</t>
  </si>
  <si>
    <t>Wire Type Pene.  1Feen / DIN (50mm/25mm) </t>
  </si>
  <si>
    <t>2511-0405</t>
  </si>
  <si>
    <t>Resinwork Model 3 Aquaforge (Almond) - IPA &amp; Water washable 3D photopolymer resin (4 X 1 kg)</t>
  </si>
  <si>
    <t>2511-0406</t>
  </si>
  <si>
    <t>UV light attachment for MR5-6Y</t>
  </si>
  <si>
    <t>2511-0407</t>
  </si>
  <si>
    <t>MR672F, Penetrant - Flourescent Level 2; Solvent &amp; Water Removable  (210L)</t>
  </si>
  <si>
    <t>2511-0408</t>
  </si>
  <si>
    <t>Resinwork Model 3 Aquaforge (almond) - IPA &amp; Water washable 3D photopolymer resin (4 X 1 kg)</t>
  </si>
  <si>
    <t>2511-0409</t>
  </si>
  <si>
    <t>Resinwork Model 3 Aquaforge (almond) - IPA &amp; Water washable 3D photopolymer resin (1 kg)</t>
  </si>
  <si>
    <t>2511-0410</t>
  </si>
  <si>
    <t>Resinwork Model 3 Aquaforge (snowcream) - IPA &amp; Water washable 3D photopolymer resin (4 X 1 kg)</t>
  </si>
  <si>
    <t>2511-0411</t>
  </si>
  <si>
    <t>Resinwork Model 3 Aquaforge (snowcream) - IPA &amp; Water washable 3D photopolymer resin (1 kg)</t>
  </si>
  <si>
    <t>2511-0412</t>
  </si>
  <si>
    <t>Resinwork Model 1 (grey) - water washable 3D photopolymer resin (1 kg)</t>
  </si>
  <si>
    <t>2511-0413</t>
  </si>
  <si>
    <t>Resinwork Model 1 (beige) - water washable 3D photopolymer resin (1 kg)</t>
  </si>
  <si>
    <t>2511-0414</t>
  </si>
  <si>
    <t>Resinwork Model 3 Aquaforge (beige) - IPA &amp; Water washable 3D photopolymer resin (1 kg)</t>
  </si>
  <si>
    <t>2511-0415</t>
  </si>
  <si>
    <t>Resinwork Model 3 Aquaforge (beige) - IPA &amp; Water washable 3D photopolymer resin (4 X 1 kg)</t>
  </si>
  <si>
    <t>2511-0416</t>
  </si>
  <si>
    <t>MR111HB, ECOLINE Magnetic Powder - Fluorescent  (30Kg)</t>
  </si>
  <si>
    <t>2511-0417</t>
  </si>
  <si>
    <t>Tangential Probe P -T2</t>
  </si>
  <si>
    <t>2511-0418</t>
  </si>
  <si>
    <t>JIS Type 3 Test Panel</t>
  </si>
  <si>
    <t>2511-0419</t>
  </si>
  <si>
    <t>Resinwork Model 3 Aquaforge (almond orange) - IPA &amp; Water washable 3D photopolymer resin (6 X 1 kg)</t>
  </si>
  <si>
    <t>2511-0420</t>
  </si>
  <si>
    <t>Resinwork Model 3 Aquaforge (almond orange) - IPA &amp; Water washable 3D photopolymer resin (1 kg)</t>
  </si>
  <si>
    <t>2511-0421</t>
  </si>
  <si>
    <t>ASTM Wire Type Pene. 1A -06  (50mm)- Top</t>
  </si>
  <si>
    <t>2511-0422</t>
  </si>
  <si>
    <t>ASTM 4A 06(CU) 50mm (Top)</t>
  </si>
  <si>
    <t>2511-0423</t>
  </si>
  <si>
    <t>60 Amp Fiber pin, 60 Amp Male(Pin)</t>
  </si>
  <si>
    <t>2511-0424</t>
  </si>
  <si>
    <t>Lead Number 0-9 (10 mm)</t>
  </si>
  <si>
    <t>2511-0425</t>
  </si>
  <si>
    <t>Lead Alphabets A-Z (10 mm)</t>
  </si>
  <si>
    <t>2511-0426</t>
  </si>
  <si>
    <t> PVC Cassettes Size: 35 X 43 cm (inner &amp; outer)</t>
  </si>
  <si>
    <t>2511-0427</t>
  </si>
  <si>
    <t> PVC Cassettes Size: 18 X 43 cm (inner &amp; outer)</t>
  </si>
  <si>
    <t>2511-0428</t>
  </si>
  <si>
    <t> Chart paper (Sample) </t>
  </si>
  <si>
    <t>2511-0429</t>
  </si>
  <si>
    <t>Cp 6 (Sample)</t>
  </si>
  <si>
    <t>2511-0430</t>
  </si>
  <si>
    <t> Cp 8 (Sample)</t>
  </si>
  <si>
    <t>2511-0431</t>
  </si>
  <si>
    <t>Lead marker tape, 5 cm spacing 1metres</t>
  </si>
  <si>
    <t>2511-0432</t>
  </si>
  <si>
    <t>Chart Paper (Sample)</t>
  </si>
  <si>
    <t>2511-0433</t>
  </si>
  <si>
    <t>MR90 UV-YokeR (Mountable on MR® 50 hand yoke)</t>
  </si>
  <si>
    <t>2511-0434</t>
  </si>
  <si>
    <t>Thermoluminescent dosimeter card</t>
  </si>
  <si>
    <t>2511-0437</t>
  </si>
  <si>
    <t>MR511 Shot peening controller 500 ml aerosol can</t>
  </si>
  <si>
    <t>2511-0438</t>
  </si>
  <si>
    <t>MR - SmartChoice, WCP40 CB White Contrast Background (400 ml)</t>
  </si>
  <si>
    <t>3AK PRODUCTS</t>
  </si>
  <si>
    <t> </t>
  </si>
  <si>
    <t>Contract Products</t>
  </si>
  <si>
    <t>Annexure 3</t>
  </si>
  <si>
    <t>Annexure 2</t>
  </si>
  <si>
    <t>MR110I</t>
  </si>
  <si>
    <t>MR222PO</t>
  </si>
  <si>
    <t>MR153PL</t>
  </si>
  <si>
    <t>No.</t>
  </si>
  <si>
    <t>2510-0369</t>
  </si>
  <si>
    <t>Rate Difference</t>
  </si>
  <si>
    <t>MR72 OR, White Contrast Background (400 ml)</t>
  </si>
  <si>
    <t>MR72 EZ, White Contrast Background (400 ml)</t>
  </si>
  <si>
    <t>MR72 HD, White Contrast Background (400 ml)</t>
  </si>
  <si>
    <t>MR72 AU, White Contrast Background (400 ml)</t>
  </si>
  <si>
    <t>MR72 IN, White Contrast Background (400 ml)</t>
  </si>
  <si>
    <t>MR82-R, ECOLINE Flux Oil (210L)</t>
  </si>
  <si>
    <t>MR72 IN - White Contrast Background (5L)</t>
  </si>
  <si>
    <t>MR - SmartChoice, WCP40 White Contrast Background (400 ml)</t>
  </si>
  <si>
    <t>2511-0147</t>
  </si>
  <si>
    <t>MR72 OR - White Contrast Background (5L)</t>
  </si>
  <si>
    <t>MR72 OR - White Contrast Background (1L)</t>
  </si>
  <si>
    <t>Cellulose Powder (1 kg)</t>
  </si>
  <si>
    <t>Klyde Rust Wipe (1L)</t>
  </si>
  <si>
    <t>Klyde Rust Wipe (5L)</t>
  </si>
  <si>
    <t>MR72 IN(R), White Contrast Background (425 ml)</t>
  </si>
  <si>
    <t>MR72 IN(R), White Contrast Background (400 ml)</t>
  </si>
  <si>
    <t>Resinwork Model 1 (white) - water washable 3D photopolymer resin (1 kg)</t>
  </si>
  <si>
    <t>Resinwork Model 1 (transparent) - water washable 3D photopolymer resin (1 kg)</t>
  </si>
  <si>
    <t>Klyde Silencer Coating Black High Temperature (280 ml)</t>
  </si>
  <si>
    <t>MR96B UVA LED Flashlight</t>
  </si>
  <si>
    <t>Resinwork Model 2 (birch beige) - water washable 3D photopolymer resin (1 kg)</t>
  </si>
  <si>
    <t>2511-0300</t>
  </si>
  <si>
    <t>300 Ampcamlock (Female) 300 Amp Female (Brass)</t>
  </si>
  <si>
    <t>300 Amp Female High Temperature Sleeve</t>
  </si>
  <si>
    <t>300 Amp Fiber Pin, 300 Amp Female (Pin)</t>
  </si>
  <si>
    <t>300 Amp Camlock (Male), 300 Amp Male (Brass)</t>
  </si>
  <si>
    <t>60 Amp Camlock (Female), 60 Amp Female (Brass)</t>
  </si>
  <si>
    <t>60 Amp Fiber Pin, 60 Amp Female (Pin)</t>
  </si>
  <si>
    <t>60 Amp Camlock (Male), 60 Amp Male (Brass)</t>
  </si>
  <si>
    <t>Thermocouple Plug Type K In Yellow (Male), Connector Type"K,Heavy Duty Only Male</t>
  </si>
  <si>
    <t>Thermocouple Socket Type K In Yellow (Female), Connector Type"K", Heavy Duty Only Female</t>
  </si>
  <si>
    <t>Thermocouple Wire K Type 0.71Mm (100Mtr Long) Fiber Glass Insulation 800</t>
  </si>
  <si>
    <t>Strip Chart Paper, Range 0-1200</t>
  </si>
  <si>
    <t>2511-0369</t>
  </si>
  <si>
    <t>Resinwork Model 3 Aquaforge (grey) - IPA &amp; Water washable 3D photopolymer resin (4 X 1 kg)</t>
  </si>
  <si>
    <t>Carmelec: Magnetis II</t>
  </si>
  <si>
    <t>Company Name</t>
  </si>
  <si>
    <t>Surplus Royalty %</t>
  </si>
  <si>
    <t>Pacific Distribution FZE</t>
  </si>
  <si>
    <t>3AK Chemie USA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</si>
</sst>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Arial Unicode MS"/>
      <family val="2"/>
      <charset val="1"/>
    </font>
    <font>
      <sz val="8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Aptos Narrow"/>
      <family val="2"/>
      <charset val="1"/>
    </font>
    <font>
      <b/>
      <sz val="11"/>
      <color rgb="FF000000"/>
      <name val="Calibri"/>
      <family val="2"/>
    </font>
    <font>
      <sz val="12"/>
      <color rgb="FF000000"/>
      <name val="HelveticaNeue"/>
      <family val="2"/>
      <charset val="1"/>
    </font>
    <font>
      <b/>
      <sz val="11"/>
      <color rgb="FFFFFFFF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C0E6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0" fillId="0" borderId="0" xfId="0" applyNumberFormat="1"/>
    <xf numFmtId="0" fontId="1" fillId="2" borderId="2" xfId="0" applyFont="1" applyFill="1" applyBorder="1"/>
    <xf numFmtId="0" fontId="1" fillId="0" borderId="2" xfId="0" applyFont="1" applyBorder="1"/>
    <xf numFmtId="0" fontId="5" fillId="3" borderId="3" xfId="0" applyFont="1" applyFill="1" applyBorder="1"/>
    <xf numFmtId="0" fontId="5" fillId="0" borderId="3" xfId="0" applyFont="1" applyBorder="1"/>
    <xf numFmtId="0" fontId="4" fillId="4" borderId="3" xfId="0" applyFont="1" applyFill="1" applyBorder="1"/>
    <xf numFmtId="0" fontId="4" fillId="4" borderId="4" xfId="0" applyFont="1" applyFill="1" applyBorder="1"/>
    <xf numFmtId="0" fontId="5" fillId="3" borderId="4" xfId="0" applyFont="1" applyFill="1" applyBorder="1"/>
    <xf numFmtId="0" fontId="5" fillId="0" borderId="4" xfId="0" applyFont="1" applyBorder="1"/>
    <xf numFmtId="0" fontId="1" fillId="2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8" fillId="5" borderId="1" xfId="0" applyFont="1" applyFill="1" applyBorder="1"/>
    <xf numFmtId="0" fontId="8" fillId="5" borderId="5" xfId="0" applyFont="1" applyFill="1" applyBorder="1"/>
    <xf numFmtId="0" fontId="8" fillId="0" borderId="1" xfId="0" applyFont="1" applyBorder="1"/>
    <xf numFmtId="0" fontId="8" fillId="0" borderId="5" xfId="0" applyFont="1" applyBorder="1"/>
    <xf numFmtId="49" fontId="1" fillId="2" borderId="0" xfId="0" applyNumberFormat="1" applyFont="1" applyFill="1"/>
    <xf numFmtId="49" fontId="1" fillId="0" borderId="1" xfId="0" applyNumberFormat="1" applyFont="1" applyBorder="1"/>
    <xf numFmtId="49" fontId="8" fillId="5" borderId="1" xfId="0" applyNumberFormat="1" applyFont="1" applyFill="1" applyBorder="1"/>
    <xf numFmtId="49" fontId="8" fillId="0" borderId="1" xfId="0" applyNumberFormat="1" applyFont="1" applyBorder="1"/>
    <xf numFmtId="49" fontId="8" fillId="0" borderId="0" xfId="0" applyNumberFormat="1" applyFont="1"/>
    <xf numFmtId="49" fontId="8" fillId="5" borderId="0" xfId="0" applyNumberFormat="1" applyFont="1" applyFill="1"/>
    <xf numFmtId="49" fontId="1" fillId="2" borderId="1" xfId="0" applyNumberFormat="1" applyFont="1" applyFill="1" applyBorder="1"/>
    <xf numFmtId="0" fontId="8" fillId="0" borderId="0" xfId="0" applyFont="1"/>
    <xf numFmtId="0" fontId="1" fillId="0" borderId="5" xfId="0" applyFont="1" applyBorder="1"/>
    <xf numFmtId="0" fontId="8" fillId="5" borderId="0" xfId="0" applyFont="1" applyFill="1"/>
    <xf numFmtId="0" fontId="1" fillId="2" borderId="5" xfId="0" applyFont="1" applyFill="1" applyBorder="1"/>
    <xf numFmtId="49" fontId="1" fillId="0" borderId="6" xfId="0" applyNumberFormat="1" applyFont="1" applyBorder="1"/>
    <xf numFmtId="49" fontId="2" fillId="0" borderId="6" xfId="0" applyNumberFormat="1" applyFont="1" applyBorder="1"/>
    <xf numFmtId="0" fontId="0" fillId="0" borderId="6" xfId="0" applyBorder="1"/>
    <xf numFmtId="49" fontId="6" fillId="0" borderId="6" xfId="0" applyNumberFormat="1" applyFont="1" applyBorder="1"/>
    <xf numFmtId="0" fontId="4" fillId="4" borderId="6" xfId="0" applyFont="1" applyFill="1" applyBorder="1"/>
    <xf numFmtId="0" fontId="1" fillId="0" borderId="6" xfId="0" applyFont="1" applyBorder="1"/>
    <xf numFmtId="49" fontId="0" fillId="0" borderId="6" xfId="0" applyNumberFormat="1" applyBorder="1"/>
    <xf numFmtId="0" fontId="1" fillId="2" borderId="6" xfId="0" applyFont="1" applyFill="1" applyBorder="1"/>
    <xf numFmtId="0" fontId="8" fillId="5" borderId="6" xfId="0" applyFont="1" applyFill="1" applyBorder="1"/>
    <xf numFmtId="0" fontId="8" fillId="0" borderId="6" xfId="0" applyFont="1" applyBorder="1"/>
    <xf numFmtId="0" fontId="5" fillId="3" borderId="6" xfId="0" applyFont="1" applyFill="1" applyBorder="1"/>
    <xf numFmtId="0" fontId="5" fillId="0" borderId="6" xfId="0" applyFont="1" applyBorder="1"/>
    <xf numFmtId="0" fontId="6" fillId="0" borderId="6" xfId="0" applyFont="1" applyBorder="1"/>
    <xf numFmtId="0" fontId="9" fillId="0" borderId="7" xfId="0" applyFont="1" applyBorder="1"/>
    <xf numFmtId="0" fontId="7" fillId="0" borderId="8" xfId="0" applyFont="1" applyBorder="1"/>
    <xf numFmtId="0" fontId="9" fillId="0" borderId="8" xfId="0" applyFont="1" applyBorder="1"/>
    <xf numFmtId="0" fontId="9" fillId="0" borderId="9" xfId="0" applyFont="1" applyBorder="1"/>
    <xf numFmtId="0" fontId="7" fillId="0" borderId="10" xfId="0" applyFont="1" applyBorder="1"/>
    <xf numFmtId="0" fontId="9" fillId="0" borderId="10" xfId="0" applyFont="1" applyBorder="1"/>
    <xf numFmtId="0" fontId="5" fillId="0" borderId="9" xfId="0" applyFont="1" applyBorder="1"/>
    <xf numFmtId="0" fontId="9" fillId="0" borderId="0" xfId="0" applyFont="1"/>
    <xf numFmtId="49" fontId="1" fillId="0" borderId="6" xfId="0" applyNumberFormat="1" applyFont="1" applyBorder="1" applyAlignment="1">
      <alignment wrapText="1"/>
    </xf>
    <xf numFmtId="0" fontId="7" fillId="6" borderId="10" xfId="0" applyFont="1" applyFill="1" applyBorder="1"/>
    <xf numFmtId="0" fontId="9" fillId="6" borderId="10" xfId="0" applyFont="1" applyFill="1" applyBorder="1"/>
    <xf numFmtId="0" fontId="10" fillId="0" borderId="0" xfId="0" applyFont="1"/>
    <xf numFmtId="0" fontId="11" fillId="7" borderId="11" xfId="0" applyFont="1" applyFill="1" applyBorder="1"/>
    <xf numFmtId="0" fontId="11" fillId="7" borderId="1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442C6-3486-46D6-AC07-79776B8967F4}">
  <dimension ref="A1:C253"/>
  <sheetViews>
    <sheetView workbookViewId="0">
      <selection activeCell="A1048567" sqref="A253:A1048567"/>
    </sheetView>
  </sheetViews>
  <sheetFormatPr defaultColWidth="8.85546875" defaultRowHeight="15"/>
  <cols>
    <col min="1" max="1" width="11.7109375" bestFit="1" customWidth="1"/>
    <col min="2" max="2" width="67.85546875" customWidth="1"/>
    <col min="3" max="3" width="19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6" t="s">
        <v>3</v>
      </c>
      <c r="B2" s="17" t="s">
        <v>4</v>
      </c>
      <c r="C2" t="str">
        <f>VLOOKUP(A2,'Product Categories for FG'!A$2:A$269,1,0)</f>
        <v>2511-0001</v>
      </c>
    </row>
    <row r="3" spans="1:3">
      <c r="A3" s="18" t="s">
        <v>5</v>
      </c>
      <c r="B3" s="19" t="s">
        <v>6</v>
      </c>
      <c r="C3" t="str">
        <f>VLOOKUP(A3,'Product Categories for FG'!A$2:A$269,1,0)</f>
        <v>2511-0002</v>
      </c>
    </row>
    <row r="4" spans="1:3">
      <c r="A4" s="16" t="s">
        <v>7</v>
      </c>
      <c r="B4" s="17" t="s">
        <v>8</v>
      </c>
      <c r="C4" t="str">
        <f>VLOOKUP(A4,'Product Categories for FG'!A$2:A$269,1,0)</f>
        <v>2511-0003</v>
      </c>
    </row>
    <row r="5" spans="1:3">
      <c r="A5" s="18" t="s">
        <v>9</v>
      </c>
      <c r="B5" s="19" t="s">
        <v>10</v>
      </c>
      <c r="C5" t="str">
        <f>VLOOKUP(A5,'Product Categories for FG'!A$2:A$269,1,0)</f>
        <v>2511-0004</v>
      </c>
    </row>
    <row r="6" spans="1:3">
      <c r="A6" s="16" t="s">
        <v>11</v>
      </c>
      <c r="B6" s="17" t="s">
        <v>12</v>
      </c>
      <c r="C6" t="str">
        <f>VLOOKUP(A6,'Product Categories for FG'!A$2:A$269,1,0)</f>
        <v>2511-0005</v>
      </c>
    </row>
    <row r="7" spans="1:3">
      <c r="A7" s="18" t="s">
        <v>13</v>
      </c>
      <c r="B7" s="19" t="s">
        <v>14</v>
      </c>
      <c r="C7" t="str">
        <f>VLOOKUP(A7,'Product Categories for FG'!A$2:A$269,1,0)</f>
        <v>2511-0006</v>
      </c>
    </row>
    <row r="8" spans="1:3">
      <c r="A8" s="16" t="s">
        <v>15</v>
      </c>
      <c r="B8" s="17" t="s">
        <v>16</v>
      </c>
      <c r="C8" t="str">
        <f>VLOOKUP(A8,'Product Categories for FG'!A$2:A$269,1,0)</f>
        <v>2511-0007</v>
      </c>
    </row>
    <row r="9" spans="1:3">
      <c r="A9" s="18" t="s">
        <v>17</v>
      </c>
      <c r="B9" s="19" t="s">
        <v>18</v>
      </c>
      <c r="C9" t="str">
        <f>VLOOKUP(A9,'Product Categories for FG'!A$2:A$269,1,0)</f>
        <v>2511-0008</v>
      </c>
    </row>
    <row r="10" spans="1:3">
      <c r="A10" s="16" t="s">
        <v>19</v>
      </c>
      <c r="B10" s="17" t="s">
        <v>20</v>
      </c>
      <c r="C10" t="str">
        <f>VLOOKUP(A10,'Product Categories for FG'!A$2:A$269,1,0)</f>
        <v>2511-0009</v>
      </c>
    </row>
    <row r="11" spans="1:3">
      <c r="A11" s="18" t="s">
        <v>21</v>
      </c>
      <c r="B11" s="19" t="s">
        <v>22</v>
      </c>
      <c r="C11" t="str">
        <f>VLOOKUP(A11,'Product Categories for FG'!A$2:A$269,1,0)</f>
        <v>2511-0010</v>
      </c>
    </row>
    <row r="12" spans="1:3">
      <c r="A12" s="16" t="s">
        <v>23</v>
      </c>
      <c r="B12" s="17" t="s">
        <v>24</v>
      </c>
      <c r="C12" t="str">
        <f>VLOOKUP(A12,'Product Categories for FG'!A$2:A$269,1,0)</f>
        <v>2511-0011</v>
      </c>
    </row>
    <row r="13" spans="1:3">
      <c r="A13" s="18" t="s">
        <v>25</v>
      </c>
      <c r="B13" s="19" t="s">
        <v>26</v>
      </c>
      <c r="C13" t="str">
        <f>VLOOKUP(A13,'Product Categories for FG'!A$2:A$269,1,0)</f>
        <v>2511-0012</v>
      </c>
    </row>
    <row r="14" spans="1:3">
      <c r="A14" s="16" t="s">
        <v>27</v>
      </c>
      <c r="B14" s="17" t="s">
        <v>28</v>
      </c>
      <c r="C14" t="str">
        <f>VLOOKUP(A14,'Product Categories for FG'!A$2:A$269,1,0)</f>
        <v>2511-0013</v>
      </c>
    </row>
    <row r="15" spans="1:3">
      <c r="A15" s="18" t="s">
        <v>29</v>
      </c>
      <c r="B15" s="19" t="s">
        <v>30</v>
      </c>
      <c r="C15" t="str">
        <f>VLOOKUP(A15,'Product Categories for FG'!A$2:A$269,1,0)</f>
        <v>2511-0014</v>
      </c>
    </row>
    <row r="16" spans="1:3">
      <c r="A16" s="16" t="s">
        <v>31</v>
      </c>
      <c r="B16" s="17" t="s">
        <v>32</v>
      </c>
      <c r="C16" t="str">
        <f>VLOOKUP(A16,'Product Categories for FG'!A$2:A$269,1,0)</f>
        <v>2511-0015</v>
      </c>
    </row>
    <row r="17" spans="1:3">
      <c r="A17" s="18" t="s">
        <v>33</v>
      </c>
      <c r="B17" s="19" t="s">
        <v>34</v>
      </c>
      <c r="C17" t="str">
        <f>VLOOKUP(A17,'Product Categories for FG'!A$2:A$269,1,0)</f>
        <v>2511-0016</v>
      </c>
    </row>
    <row r="18" spans="1:3">
      <c r="A18" s="16" t="s">
        <v>35</v>
      </c>
      <c r="B18" s="17" t="s">
        <v>36</v>
      </c>
      <c r="C18" t="str">
        <f>VLOOKUP(A18,'Product Categories for FG'!A$2:A$269,1,0)</f>
        <v>2511-0017</v>
      </c>
    </row>
    <row r="19" spans="1:3">
      <c r="A19" s="18" t="s">
        <v>37</v>
      </c>
      <c r="B19" s="19" t="s">
        <v>38</v>
      </c>
      <c r="C19" t="str">
        <f>VLOOKUP(A19,'Product Categories for FG'!A$2:A$269,1,0)</f>
        <v>2511-0018</v>
      </c>
    </row>
    <row r="20" spans="1:3">
      <c r="A20" s="16" t="s">
        <v>39</v>
      </c>
      <c r="B20" s="17" t="s">
        <v>40</v>
      </c>
      <c r="C20" t="str">
        <f>VLOOKUP(A20,'Product Categories for FG'!A$2:A$269,1,0)</f>
        <v>2511-0019</v>
      </c>
    </row>
    <row r="21" spans="1:3">
      <c r="A21" s="18" t="s">
        <v>41</v>
      </c>
      <c r="B21" s="19" t="s">
        <v>42</v>
      </c>
      <c r="C21" t="str">
        <f>VLOOKUP(A21,'Product Categories for FG'!A$2:A$269,1,0)</f>
        <v>2511-0020</v>
      </c>
    </row>
    <row r="22" spans="1:3">
      <c r="A22" s="16" t="s">
        <v>43</v>
      </c>
      <c r="B22" s="17" t="s">
        <v>44</v>
      </c>
      <c r="C22" t="str">
        <f>VLOOKUP(A22,'Product Categories for FG'!A$2:A$269,1,0)</f>
        <v>2511-0021</v>
      </c>
    </row>
    <row r="23" spans="1:3">
      <c r="A23" s="18" t="s">
        <v>45</v>
      </c>
      <c r="B23" s="19" t="s">
        <v>46</v>
      </c>
      <c r="C23" t="str">
        <f>VLOOKUP(A23,'Product Categories for FG'!A$2:A$269,1,0)</f>
        <v>2511-0022</v>
      </c>
    </row>
    <row r="24" spans="1:3">
      <c r="A24" s="16" t="s">
        <v>47</v>
      </c>
      <c r="B24" s="17" t="s">
        <v>48</v>
      </c>
      <c r="C24" t="str">
        <f>VLOOKUP(A24,'Product Categories for FG'!A$2:A$269,1,0)</f>
        <v>2511-0023</v>
      </c>
    </row>
    <row r="25" spans="1:3">
      <c r="A25" s="18" t="s">
        <v>49</v>
      </c>
      <c r="B25" s="19" t="s">
        <v>50</v>
      </c>
      <c r="C25" t="str">
        <f>VLOOKUP(A25,'Product Categories for FG'!A$2:A$269,1,0)</f>
        <v>2511-0024</v>
      </c>
    </row>
    <row r="26" spans="1:3">
      <c r="A26" s="16" t="s">
        <v>51</v>
      </c>
      <c r="B26" s="17" t="s">
        <v>52</v>
      </c>
      <c r="C26" t="str">
        <f>VLOOKUP(A26,'Product Categories for FG'!A$2:A$269,1,0)</f>
        <v>2511-0025</v>
      </c>
    </row>
    <row r="27" spans="1:3">
      <c r="A27" s="18" t="s">
        <v>53</v>
      </c>
      <c r="B27" s="19" t="s">
        <v>54</v>
      </c>
      <c r="C27" t="str">
        <f>VLOOKUP(A27,'Product Categories for FG'!A$2:A$269,1,0)</f>
        <v>2511-0026</v>
      </c>
    </row>
    <row r="28" spans="1:3">
      <c r="A28" s="16" t="s">
        <v>55</v>
      </c>
      <c r="B28" s="17" t="s">
        <v>56</v>
      </c>
      <c r="C28" t="str">
        <f>VLOOKUP(A28,'Product Categories for FG'!A$2:A$269,1,0)</f>
        <v>2511-0027</v>
      </c>
    </row>
    <row r="29" spans="1:3">
      <c r="A29" s="18" t="s">
        <v>57</v>
      </c>
      <c r="B29" s="19" t="s">
        <v>58</v>
      </c>
      <c r="C29" t="str">
        <f>VLOOKUP(A29,'Product Categories for FG'!A$2:A$269,1,0)</f>
        <v>2511-0028</v>
      </c>
    </row>
    <row r="30" spans="1:3">
      <c r="A30" s="16" t="s">
        <v>59</v>
      </c>
      <c r="B30" s="17" t="s">
        <v>60</v>
      </c>
      <c r="C30" t="str">
        <f>VLOOKUP(A30,'Product Categories for FG'!A$2:A$269,1,0)</f>
        <v>2511-0029</v>
      </c>
    </row>
    <row r="31" spans="1:3">
      <c r="A31" s="18" t="s">
        <v>61</v>
      </c>
      <c r="B31" s="19" t="s">
        <v>62</v>
      </c>
      <c r="C31" t="str">
        <f>VLOOKUP(A31,'Product Categories for FG'!A$2:A$269,1,0)</f>
        <v>2511-0030</v>
      </c>
    </row>
    <row r="32" spans="1:3">
      <c r="A32" s="16" t="s">
        <v>63</v>
      </c>
      <c r="B32" s="17" t="s">
        <v>64</v>
      </c>
      <c r="C32" t="str">
        <f>VLOOKUP(A32,'Product Categories for FG'!A$2:A$269,1,0)</f>
        <v>2511-0031</v>
      </c>
    </row>
    <row r="33" spans="1:3">
      <c r="A33" s="18" t="s">
        <v>65</v>
      </c>
      <c r="B33" s="19" t="s">
        <v>66</v>
      </c>
      <c r="C33" t="str">
        <f>VLOOKUP(A33,'Product Categories for FG'!A$2:A$269,1,0)</f>
        <v>2511-0032</v>
      </c>
    </row>
    <row r="34" spans="1:3">
      <c r="A34" s="16" t="s">
        <v>67</v>
      </c>
      <c r="B34" s="17" t="s">
        <v>68</v>
      </c>
      <c r="C34" t="str">
        <f>VLOOKUP(A34,'Product Categories for FG'!A$2:A$269,1,0)</f>
        <v>2511-0033</v>
      </c>
    </row>
    <row r="35" spans="1:3">
      <c r="A35" s="18" t="s">
        <v>69</v>
      </c>
      <c r="B35" s="19" t="s">
        <v>70</v>
      </c>
      <c r="C35" t="str">
        <f>VLOOKUP(A35,'Product Categories for FG'!A$2:A$269,1,0)</f>
        <v>2511-0034</v>
      </c>
    </row>
    <row r="36" spans="1:3">
      <c r="A36" s="16" t="s">
        <v>71</v>
      </c>
      <c r="B36" s="17" t="s">
        <v>72</v>
      </c>
      <c r="C36" t="str">
        <f>VLOOKUP(A36,'Product Categories for FG'!A$2:A$269,1,0)</f>
        <v>2511-0035</v>
      </c>
    </row>
    <row r="37" spans="1:3">
      <c r="A37" s="18" t="s">
        <v>73</v>
      </c>
      <c r="B37" s="19" t="s">
        <v>74</v>
      </c>
      <c r="C37" t="str">
        <f>VLOOKUP(A37,'Product Categories for FG'!A$2:A$269,1,0)</f>
        <v>2511-0036</v>
      </c>
    </row>
    <row r="38" spans="1:3">
      <c r="A38" s="16" t="s">
        <v>75</v>
      </c>
      <c r="B38" s="17" t="s">
        <v>76</v>
      </c>
      <c r="C38" t="str">
        <f>VLOOKUP(A38,'Product Categories for FG'!A$2:A$269,1,0)</f>
        <v>2511-0037</v>
      </c>
    </row>
    <row r="39" spans="1:3">
      <c r="A39" s="18" t="s">
        <v>77</v>
      </c>
      <c r="B39" s="19" t="s">
        <v>78</v>
      </c>
      <c r="C39" t="str">
        <f>VLOOKUP(A39,'Product Categories for FG'!A$2:A$269,1,0)</f>
        <v>2511-0038</v>
      </c>
    </row>
    <row r="40" spans="1:3">
      <c r="A40" s="16" t="s">
        <v>79</v>
      </c>
      <c r="B40" s="17" t="s">
        <v>80</v>
      </c>
      <c r="C40" t="str">
        <f>VLOOKUP(A40,'Product Categories for FG'!A$2:A$269,1,0)</f>
        <v>2511-0039</v>
      </c>
    </row>
    <row r="41" spans="1:3">
      <c r="A41" s="18" t="s">
        <v>81</v>
      </c>
      <c r="B41" s="19" t="s">
        <v>82</v>
      </c>
      <c r="C41" t="str">
        <f>VLOOKUP(A41,'Product Categories for FG'!A$2:A$269,1,0)</f>
        <v>2511-0040</v>
      </c>
    </row>
    <row r="42" spans="1:3">
      <c r="A42" s="16" t="s">
        <v>83</v>
      </c>
      <c r="B42" s="17" t="s">
        <v>84</v>
      </c>
      <c r="C42" t="str">
        <f>VLOOKUP(A42,'Product Categories for FG'!A$2:A$269,1,0)</f>
        <v>2511-0041</v>
      </c>
    </row>
    <row r="43" spans="1:3">
      <c r="A43" s="18" t="s">
        <v>85</v>
      </c>
      <c r="B43" s="19" t="s">
        <v>86</v>
      </c>
      <c r="C43" t="str">
        <f>VLOOKUP(A43,'Product Categories for FG'!A$2:A$269,1,0)</f>
        <v>2511-0042</v>
      </c>
    </row>
    <row r="44" spans="1:3">
      <c r="A44" s="16" t="s">
        <v>87</v>
      </c>
      <c r="B44" s="17" t="s">
        <v>88</v>
      </c>
      <c r="C44" t="str">
        <f>VLOOKUP(A44,'Product Categories for FG'!A$2:A$269,1,0)</f>
        <v>2511-0043</v>
      </c>
    </row>
    <row r="45" spans="1:3">
      <c r="A45" s="18" t="s">
        <v>89</v>
      </c>
      <c r="B45" s="19" t="s">
        <v>90</v>
      </c>
      <c r="C45" t="str">
        <f>VLOOKUP(A45,'Product Categories for FG'!A$2:A$269,1,0)</f>
        <v>2511-0044</v>
      </c>
    </row>
    <row r="46" spans="1:3">
      <c r="A46" s="16" t="s">
        <v>91</v>
      </c>
      <c r="B46" s="17" t="s">
        <v>92</v>
      </c>
      <c r="C46" t="str">
        <f>VLOOKUP(A46,'Product Categories for FG'!A$2:A$269,1,0)</f>
        <v>2511-0045</v>
      </c>
    </row>
    <row r="47" spans="1:3">
      <c r="A47" s="18" t="s">
        <v>93</v>
      </c>
      <c r="B47" s="19" t="s">
        <v>94</v>
      </c>
      <c r="C47" t="str">
        <f>VLOOKUP(A47,'Product Categories for FG'!A$2:A$269,1,0)</f>
        <v>2511-0046</v>
      </c>
    </row>
    <row r="48" spans="1:3">
      <c r="A48" s="16" t="s">
        <v>95</v>
      </c>
      <c r="B48" s="17" t="s">
        <v>96</v>
      </c>
      <c r="C48" t="str">
        <f>VLOOKUP(A48,'Product Categories for FG'!A$2:A$269,1,0)</f>
        <v>2511-0047</v>
      </c>
    </row>
    <row r="49" spans="1:3">
      <c r="A49" s="18" t="s">
        <v>97</v>
      </c>
      <c r="B49" s="19" t="s">
        <v>98</v>
      </c>
      <c r="C49" t="str">
        <f>VLOOKUP(A49,'Product Categories for FG'!A$2:A$269,1,0)</f>
        <v>2511-0048</v>
      </c>
    </row>
    <row r="50" spans="1:3">
      <c r="A50" s="16" t="s">
        <v>99</v>
      </c>
      <c r="B50" s="17" t="s">
        <v>100</v>
      </c>
      <c r="C50" t="str">
        <f>VLOOKUP(A50,'Product Categories for FG'!A$2:A$269,1,0)</f>
        <v>2511-0049</v>
      </c>
    </row>
    <row r="51" spans="1:3">
      <c r="A51" s="18" t="s">
        <v>101</v>
      </c>
      <c r="B51" s="19" t="s">
        <v>102</v>
      </c>
      <c r="C51" t="str">
        <f>VLOOKUP(A51,'Product Categories for FG'!A$2:A$269,1,0)</f>
        <v>2511-0050</v>
      </c>
    </row>
    <row r="52" spans="1:3">
      <c r="A52" s="16" t="s">
        <v>103</v>
      </c>
      <c r="B52" s="17" t="s">
        <v>104</v>
      </c>
      <c r="C52" t="str">
        <f>VLOOKUP(A52,'Product Categories for FG'!A$2:A$269,1,0)</f>
        <v>2511-0051</v>
      </c>
    </row>
    <row r="53" spans="1:3">
      <c r="A53" s="18" t="s">
        <v>105</v>
      </c>
      <c r="B53" s="19" t="s">
        <v>106</v>
      </c>
      <c r="C53" t="str">
        <f>VLOOKUP(A53,'Product Categories for FG'!A$2:A$269,1,0)</f>
        <v>2511-0052</v>
      </c>
    </row>
    <row r="54" spans="1:3">
      <c r="A54" s="16" t="s">
        <v>107</v>
      </c>
      <c r="B54" s="17" t="s">
        <v>108</v>
      </c>
      <c r="C54" t="str">
        <f>VLOOKUP(A54,'Product Categories for FG'!A$2:A$269,1,0)</f>
        <v>2511-0053</v>
      </c>
    </row>
    <row r="55" spans="1:3">
      <c r="A55" s="18" t="s">
        <v>109</v>
      </c>
      <c r="B55" s="19" t="s">
        <v>110</v>
      </c>
      <c r="C55" t="str">
        <f>VLOOKUP(A55,'Product Categories for FG'!A$2:A$269,1,0)</f>
        <v>2511-0054</v>
      </c>
    </row>
    <row r="56" spans="1:3">
      <c r="A56" s="16" t="s">
        <v>111</v>
      </c>
      <c r="B56" s="17" t="s">
        <v>112</v>
      </c>
      <c r="C56" t="str">
        <f>VLOOKUP(A56,'Product Categories for FG'!A$2:A$269,1,0)</f>
        <v>2511-0055</v>
      </c>
    </row>
    <row r="57" spans="1:3">
      <c r="A57" s="18" t="s">
        <v>113</v>
      </c>
      <c r="B57" s="19" t="s">
        <v>114</v>
      </c>
      <c r="C57" t="str">
        <f>VLOOKUP(A57,'Product Categories for FG'!A$2:A$269,1,0)</f>
        <v>2511-0056</v>
      </c>
    </row>
    <row r="58" spans="1:3">
      <c r="A58" s="16" t="s">
        <v>115</v>
      </c>
      <c r="B58" s="17" t="s">
        <v>116</v>
      </c>
      <c r="C58" t="str">
        <f>VLOOKUP(A58,'Product Categories for FG'!A$2:A$269,1,0)</f>
        <v>2511-0057</v>
      </c>
    </row>
    <row r="59" spans="1:3">
      <c r="A59" s="18" t="s">
        <v>117</v>
      </c>
      <c r="B59" s="19" t="s">
        <v>118</v>
      </c>
      <c r="C59" t="str">
        <f>VLOOKUP(A59,'Product Categories for FG'!A$2:A$269,1,0)</f>
        <v>2511-0058</v>
      </c>
    </row>
    <row r="60" spans="1:3">
      <c r="A60" s="16" t="s">
        <v>119</v>
      </c>
      <c r="B60" s="17" t="s">
        <v>120</v>
      </c>
      <c r="C60" t="str">
        <f>VLOOKUP(A60,'Product Categories for FG'!A$2:A$269,1,0)</f>
        <v>2511-0059</v>
      </c>
    </row>
    <row r="61" spans="1:3">
      <c r="A61" s="18" t="s">
        <v>121</v>
      </c>
      <c r="B61" s="19" t="s">
        <v>122</v>
      </c>
      <c r="C61" t="str">
        <f>VLOOKUP(A61,'Product Categories for FG'!A$2:A$269,1,0)</f>
        <v>2511-0060</v>
      </c>
    </row>
    <row r="62" spans="1:3">
      <c r="A62" s="16" t="s">
        <v>123</v>
      </c>
      <c r="B62" s="17" t="s">
        <v>124</v>
      </c>
      <c r="C62" t="str">
        <f>VLOOKUP(A62,'Product Categories for FG'!A$2:A$269,1,0)</f>
        <v>2511-0061</v>
      </c>
    </row>
    <row r="63" spans="1:3">
      <c r="A63" s="18" t="s">
        <v>125</v>
      </c>
      <c r="B63" s="19" t="s">
        <v>126</v>
      </c>
      <c r="C63" t="str">
        <f>VLOOKUP(A63,'Product Categories for FG'!A$2:A$269,1,0)</f>
        <v>2511-0062</v>
      </c>
    </row>
    <row r="64" spans="1:3">
      <c r="A64" s="16" t="s">
        <v>127</v>
      </c>
      <c r="B64" s="17" t="s">
        <v>128</v>
      </c>
      <c r="C64" t="str">
        <f>VLOOKUP(A64,'Product Categories for FG'!A$2:A$269,1,0)</f>
        <v>2511-0063</v>
      </c>
    </row>
    <row r="65" spans="1:3">
      <c r="A65" s="18" t="s">
        <v>129</v>
      </c>
      <c r="B65" s="19" t="s">
        <v>130</v>
      </c>
      <c r="C65" t="str">
        <f>VLOOKUP(A65,'Product Categories for FG'!A$2:A$269,1,0)</f>
        <v>2511-0064</v>
      </c>
    </row>
    <row r="66" spans="1:3">
      <c r="A66" s="16" t="s">
        <v>131</v>
      </c>
      <c r="B66" s="17" t="s">
        <v>132</v>
      </c>
      <c r="C66" t="str">
        <f>VLOOKUP(A66,'Product Categories for FG'!A$2:A$269,1,0)</f>
        <v>2511-0065</v>
      </c>
    </row>
    <row r="67" spans="1:3">
      <c r="A67" s="18" t="s">
        <v>133</v>
      </c>
      <c r="B67" s="19" t="s">
        <v>134</v>
      </c>
      <c r="C67" t="str">
        <f>VLOOKUP(A67,'Product Categories for FG'!A$2:A$269,1,0)</f>
        <v>2511-0066</v>
      </c>
    </row>
    <row r="68" spans="1:3">
      <c r="A68" s="16" t="s">
        <v>135</v>
      </c>
      <c r="B68" s="17" t="s">
        <v>136</v>
      </c>
      <c r="C68" t="str">
        <f>VLOOKUP(A68,'Product Categories for FG'!A$2:A$269,1,0)</f>
        <v>2511-0067</v>
      </c>
    </row>
    <row r="69" spans="1:3">
      <c r="A69" s="18" t="s">
        <v>137</v>
      </c>
      <c r="B69" s="19" t="s">
        <v>138</v>
      </c>
      <c r="C69" t="str">
        <f>VLOOKUP(A69,'Product Categories for FG'!A$2:A$269,1,0)</f>
        <v>2511-0068</v>
      </c>
    </row>
    <row r="70" spans="1:3">
      <c r="A70" s="16" t="s">
        <v>139</v>
      </c>
      <c r="B70" s="17" t="s">
        <v>140</v>
      </c>
      <c r="C70" t="str">
        <f>VLOOKUP(A70,'Product Categories for FG'!A$2:A$269,1,0)</f>
        <v>2511-0069</v>
      </c>
    </row>
    <row r="71" spans="1:3">
      <c r="A71" s="18" t="s">
        <v>141</v>
      </c>
      <c r="B71" s="19" t="s">
        <v>142</v>
      </c>
      <c r="C71" t="str">
        <f>VLOOKUP(A71,'Product Categories for FG'!A$2:A$269,1,0)</f>
        <v>2511-0070</v>
      </c>
    </row>
    <row r="72" spans="1:3">
      <c r="A72" s="16" t="s">
        <v>143</v>
      </c>
      <c r="B72" s="17" t="s">
        <v>144</v>
      </c>
      <c r="C72" t="str">
        <f>VLOOKUP(A72,'Product Categories for FG'!A$2:A$269,1,0)</f>
        <v>2511-0071</v>
      </c>
    </row>
    <row r="73" spans="1:3">
      <c r="A73" s="18" t="s">
        <v>145</v>
      </c>
      <c r="B73" s="19" t="s">
        <v>146</v>
      </c>
      <c r="C73" t="str">
        <f>VLOOKUP(A73,'Product Categories for FG'!A$2:A$269,1,0)</f>
        <v>2511-0072</v>
      </c>
    </row>
    <row r="74" spans="1:3">
      <c r="A74" s="16" t="s">
        <v>147</v>
      </c>
      <c r="B74" s="17" t="s">
        <v>148</v>
      </c>
      <c r="C74" t="str">
        <f>VLOOKUP(A74,'Product Categories for FG'!A$2:A$269,1,0)</f>
        <v>2511-0073</v>
      </c>
    </row>
    <row r="75" spans="1:3">
      <c r="A75" s="18" t="s">
        <v>149</v>
      </c>
      <c r="B75" s="19" t="s">
        <v>150</v>
      </c>
      <c r="C75" t="str">
        <f>VLOOKUP(A75,'Product Categories for FG'!A$2:A$269,1,0)</f>
        <v>2511-0074</v>
      </c>
    </row>
    <row r="76" spans="1:3">
      <c r="A76" s="16" t="s">
        <v>151</v>
      </c>
      <c r="B76" s="17" t="s">
        <v>152</v>
      </c>
      <c r="C76" t="str">
        <f>VLOOKUP(A76,'Product Categories for FG'!A$2:A$269,1,0)</f>
        <v>2511-0075</v>
      </c>
    </row>
    <row r="77" spans="1:3">
      <c r="A77" s="18" t="s">
        <v>153</v>
      </c>
      <c r="B77" s="19" t="s">
        <v>154</v>
      </c>
      <c r="C77" t="str">
        <f>VLOOKUP(A77,'Product Categories for FG'!A$2:A$269,1,0)</f>
        <v>2511-0076</v>
      </c>
    </row>
    <row r="78" spans="1:3">
      <c r="A78" s="16" t="s">
        <v>155</v>
      </c>
      <c r="B78" s="17" t="s">
        <v>156</v>
      </c>
      <c r="C78" t="str">
        <f>VLOOKUP(A78,'Product Categories for FG'!A$2:A$269,1,0)</f>
        <v>2511-0077</v>
      </c>
    </row>
    <row r="79" spans="1:3">
      <c r="A79" s="18" t="s">
        <v>157</v>
      </c>
      <c r="B79" s="19" t="s">
        <v>158</v>
      </c>
      <c r="C79" t="str">
        <f>VLOOKUP(A79,'Product Categories for FG'!A$2:A$269,1,0)</f>
        <v>2511-0078</v>
      </c>
    </row>
    <row r="80" spans="1:3">
      <c r="A80" s="16" t="s">
        <v>159</v>
      </c>
      <c r="B80" s="17" t="s">
        <v>160</v>
      </c>
      <c r="C80" t="str">
        <f>VLOOKUP(A80,'Product Categories for FG'!A$2:A$269,1,0)</f>
        <v>2511-0079</v>
      </c>
    </row>
    <row r="81" spans="1:3">
      <c r="A81" s="18" t="s">
        <v>161</v>
      </c>
      <c r="B81" s="19" t="s">
        <v>162</v>
      </c>
      <c r="C81" t="str">
        <f>VLOOKUP(A81,'Product Categories for FG'!A$2:A$269,1,0)</f>
        <v>2511-0080</v>
      </c>
    </row>
    <row r="82" spans="1:3">
      <c r="A82" s="16" t="s">
        <v>163</v>
      </c>
      <c r="B82" s="17" t="s">
        <v>164</v>
      </c>
      <c r="C82" t="str">
        <f>VLOOKUP(A82,'Product Categories for FG'!A$2:A$269,1,0)</f>
        <v>2511-0081</v>
      </c>
    </row>
    <row r="83" spans="1:3">
      <c r="A83" s="18" t="s">
        <v>165</v>
      </c>
      <c r="B83" s="19" t="s">
        <v>166</v>
      </c>
      <c r="C83" t="str">
        <f>VLOOKUP(A83,'Product Categories for FG'!A$2:A$269,1,0)</f>
        <v>2511-0082</v>
      </c>
    </row>
    <row r="84" spans="1:3">
      <c r="A84" s="16" t="s">
        <v>167</v>
      </c>
      <c r="B84" s="17" t="s">
        <v>168</v>
      </c>
      <c r="C84" t="str">
        <f>VLOOKUP(A84,'Product Categories for FG'!A$2:A$269,1,0)</f>
        <v>2511-0083</v>
      </c>
    </row>
    <row r="85" spans="1:3">
      <c r="A85" s="18" t="s">
        <v>169</v>
      </c>
      <c r="B85" s="19" t="s">
        <v>170</v>
      </c>
      <c r="C85" t="str">
        <f>VLOOKUP(A85,'Product Categories for FG'!A$2:A$269,1,0)</f>
        <v>2511-0084</v>
      </c>
    </row>
    <row r="86" spans="1:3">
      <c r="A86" s="16" t="s">
        <v>171</v>
      </c>
      <c r="B86" s="17" t="s">
        <v>76</v>
      </c>
      <c r="C86" t="str">
        <f>VLOOKUP(A86,'Product Categories for FG'!A$2:A$269,1,0)</f>
        <v>2511-0085</v>
      </c>
    </row>
    <row r="87" spans="1:3">
      <c r="A87" s="18" t="s">
        <v>172</v>
      </c>
      <c r="B87" s="19" t="s">
        <v>173</v>
      </c>
      <c r="C87" t="str">
        <f>VLOOKUP(A87,'Product Categories for FG'!A$2:A$269,1,0)</f>
        <v>2511-0086</v>
      </c>
    </row>
    <row r="88" spans="1:3">
      <c r="A88" s="16" t="s">
        <v>174</v>
      </c>
      <c r="B88" s="17" t="s">
        <v>175</v>
      </c>
      <c r="C88" t="str">
        <f>VLOOKUP(A88,'Product Categories for FG'!A$2:A$269,1,0)</f>
        <v>2511-0087</v>
      </c>
    </row>
    <row r="89" spans="1:3">
      <c r="A89" s="18" t="s">
        <v>176</v>
      </c>
      <c r="B89" s="19" t="s">
        <v>177</v>
      </c>
      <c r="C89" t="str">
        <f>VLOOKUP(A89,'Product Categories for FG'!A$2:A$269,1,0)</f>
        <v>2511-0088</v>
      </c>
    </row>
    <row r="90" spans="1:3">
      <c r="A90" s="16" t="s">
        <v>178</v>
      </c>
      <c r="B90" s="17" t="s">
        <v>179</v>
      </c>
      <c r="C90" t="str">
        <f>VLOOKUP(A90,'Product Categories for FG'!A$2:A$269,1,0)</f>
        <v>2511-0089</v>
      </c>
    </row>
    <row r="91" spans="1:3">
      <c r="A91" s="18" t="s">
        <v>180</v>
      </c>
      <c r="B91" s="19" t="s">
        <v>181</v>
      </c>
      <c r="C91" t="str">
        <f>VLOOKUP(A91,'Product Categories for FG'!A$2:A$269,1,0)</f>
        <v>2511-0090</v>
      </c>
    </row>
    <row r="92" spans="1:3">
      <c r="A92" s="16" t="s">
        <v>182</v>
      </c>
      <c r="B92" s="17" t="s">
        <v>183</v>
      </c>
      <c r="C92" t="str">
        <f>VLOOKUP(A92,'Product Categories for FG'!A$2:A$269,1,0)</f>
        <v>2511-0091</v>
      </c>
    </row>
    <row r="93" spans="1:3">
      <c r="A93" s="18" t="s">
        <v>184</v>
      </c>
      <c r="B93" s="19" t="s">
        <v>185</v>
      </c>
      <c r="C93" t="str">
        <f>VLOOKUP(A93,'Product Categories for FG'!A$2:A$269,1,0)</f>
        <v>2511-0092</v>
      </c>
    </row>
    <row r="94" spans="1:3">
      <c r="A94" s="16" t="s">
        <v>186</v>
      </c>
      <c r="B94" s="17" t="s">
        <v>187</v>
      </c>
      <c r="C94" t="str">
        <f>VLOOKUP(A94,'Product Categories for FG'!A$2:A$269,1,0)</f>
        <v>2511-0093</v>
      </c>
    </row>
    <row r="95" spans="1:3">
      <c r="A95" s="18" t="s">
        <v>188</v>
      </c>
      <c r="B95" s="19" t="s">
        <v>189</v>
      </c>
      <c r="C95" t="str">
        <f>VLOOKUP(A95,'Product Categories for FG'!A$2:A$269,1,0)</f>
        <v>2511-0094</v>
      </c>
    </row>
    <row r="96" spans="1:3">
      <c r="A96" s="16" t="s">
        <v>190</v>
      </c>
      <c r="B96" s="17" t="s">
        <v>191</v>
      </c>
      <c r="C96" t="str">
        <f>VLOOKUP(A96,'Product Categories for FG'!A$2:A$269,1,0)</f>
        <v>2511-0095</v>
      </c>
    </row>
    <row r="97" spans="1:3">
      <c r="A97" s="18" t="s">
        <v>192</v>
      </c>
      <c r="B97" s="19" t="s">
        <v>193</v>
      </c>
      <c r="C97" t="str">
        <f>VLOOKUP(A97,'Product Categories for FG'!A$2:A$269,1,0)</f>
        <v>2511-0096</v>
      </c>
    </row>
    <row r="98" spans="1:3">
      <c r="A98" s="16" t="s">
        <v>194</v>
      </c>
      <c r="B98" s="17" t="s">
        <v>195</v>
      </c>
      <c r="C98" t="str">
        <f>VLOOKUP(A98,'Product Categories for FG'!A$2:A$269,1,0)</f>
        <v>2511-0097</v>
      </c>
    </row>
    <row r="99" spans="1:3">
      <c r="A99" s="18" t="s">
        <v>196</v>
      </c>
      <c r="B99" s="19" t="s">
        <v>197</v>
      </c>
      <c r="C99" t="str">
        <f>VLOOKUP(A99,'Product Categories for FG'!A$2:A$269,1,0)</f>
        <v>2511-0098</v>
      </c>
    </row>
    <row r="100" spans="1:3">
      <c r="A100" s="16" t="s">
        <v>198</v>
      </c>
      <c r="B100" s="17" t="s">
        <v>199</v>
      </c>
      <c r="C100" t="str">
        <f>VLOOKUP(A100,'Product Categories for FG'!A$2:A$269,1,0)</f>
        <v>2511-0099</v>
      </c>
    </row>
    <row r="101" spans="1:3">
      <c r="A101" s="18" t="s">
        <v>200</v>
      </c>
      <c r="B101" s="19" t="s">
        <v>201</v>
      </c>
      <c r="C101" t="str">
        <f>VLOOKUP(A101,'Product Categories for FG'!A$2:A$269,1,0)</f>
        <v>2511-0100</v>
      </c>
    </row>
    <row r="102" spans="1:3">
      <c r="A102" s="16" t="s">
        <v>202</v>
      </c>
      <c r="B102" s="17" t="s">
        <v>203</v>
      </c>
      <c r="C102" t="str">
        <f>VLOOKUP(A102,'Product Categories for FG'!A$2:A$269,1,0)</f>
        <v>2511-0101</v>
      </c>
    </row>
    <row r="103" spans="1:3">
      <c r="A103" s="18" t="s">
        <v>204</v>
      </c>
      <c r="B103" s="19" t="s">
        <v>205</v>
      </c>
      <c r="C103" t="str">
        <f>VLOOKUP(A103,'Product Categories for FG'!A$2:A$269,1,0)</f>
        <v>2511-0102</v>
      </c>
    </row>
    <row r="104" spans="1:3">
      <c r="A104" s="16" t="s">
        <v>206</v>
      </c>
      <c r="B104" s="17" t="s">
        <v>207</v>
      </c>
      <c r="C104" t="str">
        <f>VLOOKUP(A104,'Product Categories for FG'!A$2:A$269,1,0)</f>
        <v>2511-0103</v>
      </c>
    </row>
    <row r="105" spans="1:3">
      <c r="A105" s="18" t="s">
        <v>208</v>
      </c>
      <c r="B105" s="19" t="s">
        <v>209</v>
      </c>
      <c r="C105" t="str">
        <f>VLOOKUP(A105,'Product Categories for FG'!A$2:A$269,1,0)</f>
        <v>2511-0104</v>
      </c>
    </row>
    <row r="106" spans="1:3">
      <c r="A106" s="16" t="s">
        <v>210</v>
      </c>
      <c r="B106" s="17" t="s">
        <v>211</v>
      </c>
      <c r="C106" t="str">
        <f>VLOOKUP(A106,'Product Categories for FG'!A$2:A$269,1,0)</f>
        <v>2511-0105</v>
      </c>
    </row>
    <row r="107" spans="1:3">
      <c r="A107" s="18" t="s">
        <v>212</v>
      </c>
      <c r="B107" s="19" t="s">
        <v>213</v>
      </c>
      <c r="C107" t="str">
        <f>VLOOKUP(A107,'Product Categories for FG'!A$2:A$269,1,0)</f>
        <v>2511-0106</v>
      </c>
    </row>
    <row r="108" spans="1:3">
      <c r="A108" s="16" t="s">
        <v>214</v>
      </c>
      <c r="B108" s="17" t="s">
        <v>215</v>
      </c>
      <c r="C108" t="str">
        <f>VLOOKUP(A108,'Product Categories for FG'!A$2:A$269,1,0)</f>
        <v>2511-0107</v>
      </c>
    </row>
    <row r="109" spans="1:3">
      <c r="A109" s="18" t="s">
        <v>216</v>
      </c>
      <c r="B109" s="19" t="s">
        <v>217</v>
      </c>
      <c r="C109" t="str">
        <f>VLOOKUP(A109,'Product Categories for FG'!A$2:A$269,1,0)</f>
        <v>2511-0108</v>
      </c>
    </row>
    <row r="110" spans="1:3">
      <c r="A110" s="16" t="s">
        <v>218</v>
      </c>
      <c r="B110" s="17" t="s">
        <v>219</v>
      </c>
      <c r="C110" t="str">
        <f>VLOOKUP(A110,'Product Categories for FG'!A$2:A$269,1,0)</f>
        <v>2511-0109</v>
      </c>
    </row>
    <row r="111" spans="1:3">
      <c r="A111" s="18" t="s">
        <v>220</v>
      </c>
      <c r="B111" s="19" t="s">
        <v>221</v>
      </c>
      <c r="C111" t="str">
        <f>VLOOKUP(A111,'Product Categories for FG'!A$2:A$269,1,0)</f>
        <v>2511-0110</v>
      </c>
    </row>
    <row r="112" spans="1:3">
      <c r="A112" s="16" t="s">
        <v>222</v>
      </c>
      <c r="B112" s="17" t="s">
        <v>223</v>
      </c>
      <c r="C112" t="str">
        <f>VLOOKUP(A112,'Product Categories for FG'!A$2:A$269,1,0)</f>
        <v>2511-0111</v>
      </c>
    </row>
    <row r="113" spans="1:3">
      <c r="A113" s="18" t="s">
        <v>224</v>
      </c>
      <c r="B113" s="19" t="s">
        <v>225</v>
      </c>
      <c r="C113" t="str">
        <f>VLOOKUP(A113,'Product Categories for FG'!A$2:A$269,1,0)</f>
        <v>2511-0112</v>
      </c>
    </row>
    <row r="114" spans="1:3">
      <c r="A114" s="16" t="s">
        <v>226</v>
      </c>
      <c r="B114" s="17" t="s">
        <v>227</v>
      </c>
      <c r="C114" t="str">
        <f>VLOOKUP(A114,'Product Categories for FG'!A$2:A$269,1,0)</f>
        <v>2511-0115</v>
      </c>
    </row>
    <row r="115" spans="1:3">
      <c r="A115" s="18" t="s">
        <v>228</v>
      </c>
      <c r="B115" s="19" t="s">
        <v>229</v>
      </c>
      <c r="C115" t="str">
        <f>VLOOKUP(A115,'Product Categories for FG'!A$2:A$269,1,0)</f>
        <v>2511-0116</v>
      </c>
    </row>
    <row r="116" spans="1:3">
      <c r="A116" s="16" t="s">
        <v>230</v>
      </c>
      <c r="B116" s="17" t="s">
        <v>231</v>
      </c>
      <c r="C116" t="str">
        <f>VLOOKUP(A116,'Product Categories for FG'!A$2:A$269,1,0)</f>
        <v>2511-0117</v>
      </c>
    </row>
    <row r="117" spans="1:3">
      <c r="A117" s="18" t="s">
        <v>232</v>
      </c>
      <c r="B117" s="19" t="s">
        <v>233</v>
      </c>
      <c r="C117" t="str">
        <f>VLOOKUP(A117,'Product Categories for FG'!A$2:A$269,1,0)</f>
        <v>2511-0118</v>
      </c>
    </row>
    <row r="118" spans="1:3">
      <c r="A118" s="16" t="s">
        <v>234</v>
      </c>
      <c r="B118" s="17" t="s">
        <v>235</v>
      </c>
      <c r="C118" t="str">
        <f>VLOOKUP(A118,'Product Categories for FG'!A$2:A$269,1,0)</f>
        <v>2511-0120</v>
      </c>
    </row>
    <row r="119" spans="1:3">
      <c r="A119" s="18" t="s">
        <v>236</v>
      </c>
      <c r="B119" s="19" t="s">
        <v>237</v>
      </c>
      <c r="C119" t="str">
        <f>VLOOKUP(A119,'Product Categories for FG'!A$2:A$269,1,0)</f>
        <v>2511-0121</v>
      </c>
    </row>
    <row r="120" spans="1:3">
      <c r="A120" s="16" t="s">
        <v>238</v>
      </c>
      <c r="B120" s="17" t="s">
        <v>239</v>
      </c>
      <c r="C120" t="str">
        <f>VLOOKUP(A120,'Product Categories for FG'!A$2:A$269,1,0)</f>
        <v>2511-0122</v>
      </c>
    </row>
    <row r="121" spans="1:3">
      <c r="A121" s="18" t="s">
        <v>240</v>
      </c>
      <c r="B121" s="19" t="s">
        <v>241</v>
      </c>
      <c r="C121" t="str">
        <f>VLOOKUP(A121,'Product Categories for FG'!A$2:A$269,1,0)</f>
        <v>2511-0123</v>
      </c>
    </row>
    <row r="122" spans="1:3">
      <c r="A122" s="16" t="s">
        <v>242</v>
      </c>
      <c r="B122" s="17" t="s">
        <v>243</v>
      </c>
      <c r="C122" t="str">
        <f>VLOOKUP(A122,'Product Categories for FG'!A$2:A$269,1,0)</f>
        <v>2511-0124</v>
      </c>
    </row>
    <row r="123" spans="1:3">
      <c r="A123" s="18" t="s">
        <v>244</v>
      </c>
      <c r="B123" s="19" t="s">
        <v>245</v>
      </c>
      <c r="C123" t="str">
        <f>VLOOKUP(A123,'Product Categories for FG'!A$2:A$269,1,0)</f>
        <v>2511-0125</v>
      </c>
    </row>
    <row r="124" spans="1:3">
      <c r="A124" s="16" t="s">
        <v>246</v>
      </c>
      <c r="B124" s="17" t="s">
        <v>247</v>
      </c>
      <c r="C124" t="str">
        <f>VLOOKUP(A124,'Product Categories for FG'!A$2:A$269,1,0)</f>
        <v>2511-0126</v>
      </c>
    </row>
    <row r="125" spans="1:3">
      <c r="A125" s="18" t="s">
        <v>248</v>
      </c>
      <c r="B125" s="19" t="s">
        <v>249</v>
      </c>
      <c r="C125" t="str">
        <f>VLOOKUP(A125,'Product Categories for FG'!A$2:A$269,1,0)</f>
        <v>2511-0127</v>
      </c>
    </row>
    <row r="126" spans="1:3">
      <c r="A126" s="16" t="s">
        <v>250</v>
      </c>
      <c r="B126" s="17" t="s">
        <v>251</v>
      </c>
      <c r="C126" t="str">
        <f>VLOOKUP(A126,'Product Categories for FG'!A$2:A$269,1,0)</f>
        <v>2511-0128</v>
      </c>
    </row>
    <row r="127" spans="1:3">
      <c r="A127" s="18" t="s">
        <v>252</v>
      </c>
      <c r="B127" s="19" t="s">
        <v>253</v>
      </c>
      <c r="C127" t="str">
        <f>VLOOKUP(A127,'Product Categories for FG'!A$2:A$269,1,0)</f>
        <v>2511-0129</v>
      </c>
    </row>
    <row r="128" spans="1:3">
      <c r="A128" s="16" t="s">
        <v>254</v>
      </c>
      <c r="B128" s="17" t="s">
        <v>255</v>
      </c>
      <c r="C128" t="str">
        <f>VLOOKUP(A128,'Product Categories for FG'!A$2:A$269,1,0)</f>
        <v>2511-0130</v>
      </c>
    </row>
    <row r="129" spans="1:3">
      <c r="A129" s="18" t="s">
        <v>256</v>
      </c>
      <c r="B129" s="19" t="s">
        <v>257</v>
      </c>
      <c r="C129" t="str">
        <f>VLOOKUP(A129,'Product Categories for FG'!A$2:A$269,1,0)</f>
        <v>2511-0131</v>
      </c>
    </row>
    <row r="130" spans="1:3">
      <c r="A130" s="16" t="s">
        <v>258</v>
      </c>
      <c r="B130" s="17" t="s">
        <v>259</v>
      </c>
      <c r="C130" t="str">
        <f>VLOOKUP(A130,'Product Categories for FG'!A$2:A$269,1,0)</f>
        <v>2511-0132</v>
      </c>
    </row>
    <row r="131" spans="1:3">
      <c r="A131" s="18" t="s">
        <v>260</v>
      </c>
      <c r="B131" s="19" t="s">
        <v>261</v>
      </c>
      <c r="C131" t="str">
        <f>VLOOKUP(A131,'Product Categories for FG'!A$2:A$269,1,0)</f>
        <v>2511-0133</v>
      </c>
    </row>
    <row r="132" spans="1:3">
      <c r="A132" s="16" t="s">
        <v>262</v>
      </c>
      <c r="B132" s="17" t="s">
        <v>263</v>
      </c>
      <c r="C132" t="str">
        <f>VLOOKUP(A132,'Product Categories for FG'!A$2:A$269,1,0)</f>
        <v>2511-0134</v>
      </c>
    </row>
    <row r="133" spans="1:3">
      <c r="A133" s="18" t="s">
        <v>264</v>
      </c>
      <c r="B133" s="19" t="s">
        <v>265</v>
      </c>
      <c r="C133" t="str">
        <f>VLOOKUP(A133,'Product Categories for FG'!A$2:A$269,1,0)</f>
        <v>2511-0135</v>
      </c>
    </row>
    <row r="134" spans="1:3">
      <c r="A134" s="16" t="s">
        <v>266</v>
      </c>
      <c r="B134" s="17" t="s">
        <v>267</v>
      </c>
      <c r="C134" t="str">
        <f>VLOOKUP(A134,'Product Categories for FG'!A$2:A$269,1,0)</f>
        <v>2511-0136</v>
      </c>
    </row>
    <row r="135" spans="1:3">
      <c r="A135" s="18" t="s">
        <v>268</v>
      </c>
      <c r="B135" s="19" t="s">
        <v>269</v>
      </c>
      <c r="C135" t="str">
        <f>VLOOKUP(A135,'Product Categories for FG'!A$2:A$269,1,0)</f>
        <v>2511-0137</v>
      </c>
    </row>
    <row r="136" spans="1:3">
      <c r="A136" s="16" t="s">
        <v>270</v>
      </c>
      <c r="B136" s="17" t="s">
        <v>271</v>
      </c>
      <c r="C136" t="str">
        <f>VLOOKUP(A136,'Product Categories for FG'!A$2:A$269,1,0)</f>
        <v>2511-0138</v>
      </c>
    </row>
    <row r="137" spans="1:3">
      <c r="A137" s="18" t="s">
        <v>272</v>
      </c>
      <c r="B137" s="19" t="s">
        <v>273</v>
      </c>
      <c r="C137" t="str">
        <f>VLOOKUP(A137,'Product Categories for FG'!A$2:A$269,1,0)</f>
        <v>2511-0139</v>
      </c>
    </row>
    <row r="138" spans="1:3">
      <c r="A138" s="16" t="s">
        <v>274</v>
      </c>
      <c r="B138" s="17" t="s">
        <v>275</v>
      </c>
      <c r="C138" t="str">
        <f>VLOOKUP(A138,'Product Categories for FG'!A$2:A$269,1,0)</f>
        <v>2511-0141</v>
      </c>
    </row>
    <row r="139" spans="1:3">
      <c r="A139" s="18" t="s">
        <v>276</v>
      </c>
      <c r="B139" s="19" t="s">
        <v>277</v>
      </c>
      <c r="C139" t="str">
        <f>VLOOKUP(A139,'Product Categories for FG'!A$2:A$269,1,0)</f>
        <v>2511-0142</v>
      </c>
    </row>
    <row r="140" spans="1:3">
      <c r="A140" s="16" t="s">
        <v>278</v>
      </c>
      <c r="B140" s="17" t="s">
        <v>279</v>
      </c>
      <c r="C140" t="str">
        <f>VLOOKUP(A140,'Product Categories for FG'!A$2:A$269,1,0)</f>
        <v>2511-0143</v>
      </c>
    </row>
    <row r="141" spans="1:3">
      <c r="A141" s="18" t="s">
        <v>280</v>
      </c>
      <c r="B141" s="19" t="s">
        <v>281</v>
      </c>
      <c r="C141" t="str">
        <f>VLOOKUP(A141,'Product Categories for FG'!A$2:A$269,1,0)</f>
        <v>2511-0144</v>
      </c>
    </row>
    <row r="142" spans="1:3">
      <c r="A142" s="16" t="s">
        <v>282</v>
      </c>
      <c r="B142" s="17" t="s">
        <v>283</v>
      </c>
      <c r="C142" t="str">
        <f>VLOOKUP(A142,'Product Categories for FG'!A$2:A$269,1,0)</f>
        <v>2511-0145</v>
      </c>
    </row>
    <row r="143" spans="1:3">
      <c r="A143" s="18" t="s">
        <v>284</v>
      </c>
      <c r="B143" s="19" t="s">
        <v>285</v>
      </c>
      <c r="C143" t="str">
        <f>VLOOKUP(A143,'Product Categories for FG'!A$2:A$269,1,0)</f>
        <v>2511-0146</v>
      </c>
    </row>
    <row r="144" spans="1:3">
      <c r="A144" s="16" t="s">
        <v>286</v>
      </c>
      <c r="B144" s="17" t="s">
        <v>287</v>
      </c>
      <c r="C144" t="str">
        <f>VLOOKUP(A144,'Product Categories for FG'!A$2:A$269,1,0)</f>
        <v>2511-0150</v>
      </c>
    </row>
    <row r="145" spans="1:3">
      <c r="A145" s="18" t="s">
        <v>288</v>
      </c>
      <c r="B145" s="19" t="s">
        <v>289</v>
      </c>
      <c r="C145" t="str">
        <f>VLOOKUP(A145,'Product Categories for FG'!A$2:A$269,1,0)</f>
        <v>2511-0151</v>
      </c>
    </row>
    <row r="146" spans="1:3">
      <c r="A146" s="16" t="s">
        <v>290</v>
      </c>
      <c r="B146" s="17" t="s">
        <v>291</v>
      </c>
      <c r="C146" t="str">
        <f>VLOOKUP(A146,'Product Categories for FG'!A$2:A$269,1,0)</f>
        <v>2511-0154</v>
      </c>
    </row>
    <row r="147" spans="1:3">
      <c r="A147" s="18" t="s">
        <v>292</v>
      </c>
      <c r="B147" s="19" t="s">
        <v>293</v>
      </c>
      <c r="C147" t="str">
        <f>VLOOKUP(A147,'Product Categories for FG'!A$2:A$269,1,0)</f>
        <v>2511-0155</v>
      </c>
    </row>
    <row r="148" spans="1:3">
      <c r="A148" s="16" t="s">
        <v>294</v>
      </c>
      <c r="B148" s="17" t="s">
        <v>295</v>
      </c>
      <c r="C148" t="str">
        <f>VLOOKUP(A148,'Product Categories for FG'!A$2:A$269,1,0)</f>
        <v>2511-0156</v>
      </c>
    </row>
    <row r="149" spans="1:3">
      <c r="A149" s="18" t="s">
        <v>296</v>
      </c>
      <c r="B149" s="19" t="s">
        <v>297</v>
      </c>
      <c r="C149" t="str">
        <f>VLOOKUP(A149,'Product Categories for FG'!A$2:A$269,1,0)</f>
        <v>2511-0158</v>
      </c>
    </row>
    <row r="150" spans="1:3">
      <c r="A150" s="16" t="s">
        <v>298</v>
      </c>
      <c r="B150" s="17" t="s">
        <v>299</v>
      </c>
      <c r="C150" t="str">
        <f>VLOOKUP(A150,'Product Categories for FG'!A$2:A$269,1,0)</f>
        <v>2511-0160</v>
      </c>
    </row>
    <row r="151" spans="1:3">
      <c r="A151" s="18" t="s">
        <v>300</v>
      </c>
      <c r="B151" s="19" t="s">
        <v>301</v>
      </c>
      <c r="C151" t="str">
        <f>VLOOKUP(A151,'Product Categories for FG'!A$2:A$269,1,0)</f>
        <v>2511-0161</v>
      </c>
    </row>
    <row r="152" spans="1:3">
      <c r="A152" s="16" t="s">
        <v>302</v>
      </c>
      <c r="B152" s="17" t="s">
        <v>303</v>
      </c>
      <c r="C152" t="str">
        <f>VLOOKUP(A152,'Product Categories for FG'!A$2:A$269,1,0)</f>
        <v>2511-0162</v>
      </c>
    </row>
    <row r="153" spans="1:3">
      <c r="A153" s="18" t="s">
        <v>304</v>
      </c>
      <c r="B153" s="19" t="s">
        <v>305</v>
      </c>
      <c r="C153" t="str">
        <f>VLOOKUP(A153,'Product Categories for FG'!A$2:A$269,1,0)</f>
        <v>2511-0163</v>
      </c>
    </row>
    <row r="154" spans="1:3">
      <c r="A154" s="16" t="s">
        <v>306</v>
      </c>
      <c r="B154" s="17" t="s">
        <v>307</v>
      </c>
      <c r="C154" t="str">
        <f>VLOOKUP(A154,'Product Categories for FG'!A$2:A$269,1,0)</f>
        <v>2511-0164</v>
      </c>
    </row>
    <row r="155" spans="1:3">
      <c r="A155" s="18" t="s">
        <v>308</v>
      </c>
      <c r="B155" s="19" t="s">
        <v>309</v>
      </c>
      <c r="C155" t="str">
        <f>VLOOKUP(A155,'Product Categories for FG'!A$2:A$269,1,0)</f>
        <v>2511-0165</v>
      </c>
    </row>
    <row r="156" spans="1:3">
      <c r="A156" s="16" t="s">
        <v>310</v>
      </c>
      <c r="B156" s="17" t="s">
        <v>311</v>
      </c>
      <c r="C156" t="str">
        <f>VLOOKUP(A156,'Product Categories for FG'!A$2:A$269,1,0)</f>
        <v>2511-0166</v>
      </c>
    </row>
    <row r="157" spans="1:3">
      <c r="A157" s="18" t="s">
        <v>312</v>
      </c>
      <c r="B157" s="19" t="s">
        <v>313</v>
      </c>
      <c r="C157" t="str">
        <f>VLOOKUP(A157,'Product Categories for FG'!A$2:A$269,1,0)</f>
        <v>2511-0167</v>
      </c>
    </row>
    <row r="158" spans="1:3">
      <c r="A158" s="16" t="s">
        <v>314</v>
      </c>
      <c r="B158" s="17" t="s">
        <v>315</v>
      </c>
      <c r="C158" t="str">
        <f>VLOOKUP(A158,'Product Categories for FG'!A$2:A$269,1,0)</f>
        <v>2511-0168</v>
      </c>
    </row>
    <row r="159" spans="1:3">
      <c r="A159" s="18" t="s">
        <v>316</v>
      </c>
      <c r="B159" s="19" t="s">
        <v>317</v>
      </c>
      <c r="C159" t="str">
        <f>VLOOKUP(A159,'Product Categories for FG'!A$2:A$269,1,0)</f>
        <v>2511-0169</v>
      </c>
    </row>
    <row r="160" spans="1:3">
      <c r="A160" s="16" t="s">
        <v>318</v>
      </c>
      <c r="B160" s="17" t="s">
        <v>319</v>
      </c>
      <c r="C160" t="str">
        <f>VLOOKUP(A160,'Product Categories for FG'!A$2:A$269,1,0)</f>
        <v>2511-0170</v>
      </c>
    </row>
    <row r="161" spans="1:3">
      <c r="A161" s="18" t="s">
        <v>320</v>
      </c>
      <c r="B161" s="19" t="s">
        <v>321</v>
      </c>
      <c r="C161" t="str">
        <f>VLOOKUP(A161,'Product Categories for FG'!A$2:A$269,1,0)</f>
        <v>2511-0171</v>
      </c>
    </row>
    <row r="162" spans="1:3">
      <c r="A162" s="16" t="s">
        <v>322</v>
      </c>
      <c r="B162" s="17" t="s">
        <v>323</v>
      </c>
      <c r="C162" t="str">
        <f>VLOOKUP(A162,'Product Categories for FG'!A$2:A$269,1,0)</f>
        <v>2511-0172</v>
      </c>
    </row>
    <row r="163" spans="1:3">
      <c r="A163" s="18" t="s">
        <v>324</v>
      </c>
      <c r="B163" s="19" t="s">
        <v>325</v>
      </c>
      <c r="C163" t="str">
        <f>VLOOKUP(A163,'Product Categories for FG'!A$2:A$269,1,0)</f>
        <v>2511-0173</v>
      </c>
    </row>
    <row r="164" spans="1:3">
      <c r="A164" s="16" t="s">
        <v>326</v>
      </c>
      <c r="B164" s="17" t="s">
        <v>327</v>
      </c>
      <c r="C164" t="str">
        <f>VLOOKUP(A164,'Product Categories for FG'!A$2:A$269,1,0)</f>
        <v>2511-0179</v>
      </c>
    </row>
    <row r="165" spans="1:3">
      <c r="A165" s="18" t="s">
        <v>328</v>
      </c>
      <c r="B165" s="19" t="s">
        <v>329</v>
      </c>
      <c r="C165" t="str">
        <f>VLOOKUP(A165,'Product Categories for FG'!A$2:A$269,1,0)</f>
        <v>2511-0184</v>
      </c>
    </row>
    <row r="166" spans="1:3">
      <c r="A166" s="16" t="s">
        <v>330</v>
      </c>
      <c r="B166" s="17" t="s">
        <v>331</v>
      </c>
      <c r="C166" t="str">
        <f>VLOOKUP(A166,'Product Categories for FG'!A$2:A$269,1,0)</f>
        <v>2511-0186</v>
      </c>
    </row>
    <row r="167" spans="1:3">
      <c r="A167" s="18" t="s">
        <v>332</v>
      </c>
      <c r="B167" s="19" t="s">
        <v>333</v>
      </c>
      <c r="C167" t="str">
        <f>VLOOKUP(A167,'Product Categories for FG'!A$2:A$269,1,0)</f>
        <v>2511-0187</v>
      </c>
    </row>
    <row r="168" spans="1:3">
      <c r="A168" s="16" t="s">
        <v>334</v>
      </c>
      <c r="B168" s="17" t="s">
        <v>335</v>
      </c>
      <c r="C168" t="str">
        <f>VLOOKUP(A168,'Product Categories for FG'!A$2:A$269,1,0)</f>
        <v>2511-0188</v>
      </c>
    </row>
    <row r="169" spans="1:3">
      <c r="A169" s="18" t="s">
        <v>336</v>
      </c>
      <c r="B169" s="19" t="s">
        <v>337</v>
      </c>
      <c r="C169" t="str">
        <f>VLOOKUP(A169,'Product Categories for FG'!A$2:A$269,1,0)</f>
        <v>2511-0189</v>
      </c>
    </row>
    <row r="170" spans="1:3">
      <c r="A170" s="16" t="s">
        <v>338</v>
      </c>
      <c r="B170" s="17" t="s">
        <v>339</v>
      </c>
      <c r="C170" t="str">
        <f>VLOOKUP(A170,'Product Categories for FG'!A$2:A$269,1,0)</f>
        <v>2511-0190</v>
      </c>
    </row>
    <row r="171" spans="1:3">
      <c r="A171" s="18" t="s">
        <v>340</v>
      </c>
      <c r="B171" s="19" t="s">
        <v>341</v>
      </c>
      <c r="C171" t="str">
        <f>VLOOKUP(A171,'Product Categories for FG'!A$2:A$269,1,0)</f>
        <v>2511-0191</v>
      </c>
    </row>
    <row r="172" spans="1:3">
      <c r="A172" s="16" t="s">
        <v>342</v>
      </c>
      <c r="B172" s="17" t="s">
        <v>343</v>
      </c>
      <c r="C172" t="str">
        <f>VLOOKUP(A172,'Product Categories for FG'!A$2:A$269,1,0)</f>
        <v>2511-0192</v>
      </c>
    </row>
    <row r="173" spans="1:3">
      <c r="A173" s="18" t="s">
        <v>344</v>
      </c>
      <c r="B173" s="19" t="s">
        <v>345</v>
      </c>
      <c r="C173" t="str">
        <f>VLOOKUP(A173,'Product Categories for FG'!A$2:A$269,1,0)</f>
        <v>2511-0193</v>
      </c>
    </row>
    <row r="174" spans="1:3">
      <c r="A174" s="16" t="s">
        <v>346</v>
      </c>
      <c r="B174" s="17" t="s">
        <v>347</v>
      </c>
      <c r="C174" t="str">
        <f>VLOOKUP(A174,'Product Categories for FG'!A$2:A$269,1,0)</f>
        <v>2511-0194</v>
      </c>
    </row>
    <row r="175" spans="1:3">
      <c r="A175" s="18" t="s">
        <v>348</v>
      </c>
      <c r="B175" s="19" t="s">
        <v>349</v>
      </c>
      <c r="C175" t="str">
        <f>VLOOKUP(A175,'Product Categories for FG'!A$2:A$269,1,0)</f>
        <v>2511-0195</v>
      </c>
    </row>
    <row r="176" spans="1:3">
      <c r="A176" s="16" t="s">
        <v>350</v>
      </c>
      <c r="B176" s="17" t="s">
        <v>351</v>
      </c>
      <c r="C176" t="str">
        <f>VLOOKUP(A176,'Product Categories for FG'!A$2:A$269,1,0)</f>
        <v>2511-0196</v>
      </c>
    </row>
    <row r="177" spans="1:3">
      <c r="A177" s="18" t="s">
        <v>352</v>
      </c>
      <c r="B177" s="19" t="s">
        <v>353</v>
      </c>
      <c r="C177" t="str">
        <f>VLOOKUP(A177,'Product Categories for FG'!A$2:A$269,1,0)</f>
        <v>2511-0197</v>
      </c>
    </row>
    <row r="178" spans="1:3">
      <c r="A178" s="16" t="s">
        <v>354</v>
      </c>
      <c r="B178" s="17" t="s">
        <v>355</v>
      </c>
      <c r="C178" t="str">
        <f>VLOOKUP(A178,'Product Categories for FG'!A$2:A$269,1,0)</f>
        <v>2511-0198</v>
      </c>
    </row>
    <row r="179" spans="1:3">
      <c r="A179" s="18" t="s">
        <v>356</v>
      </c>
      <c r="B179" s="19" t="s">
        <v>357</v>
      </c>
      <c r="C179" t="str">
        <f>VLOOKUP(A179,'Product Categories for FG'!A$2:A$269,1,0)</f>
        <v>2511-0199</v>
      </c>
    </row>
    <row r="180" spans="1:3">
      <c r="A180" s="16" t="s">
        <v>358</v>
      </c>
      <c r="B180" s="17" t="s">
        <v>359</v>
      </c>
      <c r="C180" t="str">
        <f>VLOOKUP(A180,'Product Categories for FG'!A$2:A$269,1,0)</f>
        <v>2511-0200</v>
      </c>
    </row>
    <row r="181" spans="1:3">
      <c r="A181" s="18" t="s">
        <v>360</v>
      </c>
      <c r="B181" s="19" t="s">
        <v>361</v>
      </c>
      <c r="C181" t="str">
        <f>VLOOKUP(A181,'Product Categories for FG'!A$2:A$269,1,0)</f>
        <v>2511-0201</v>
      </c>
    </row>
    <row r="182" spans="1:3">
      <c r="A182" s="16" t="s">
        <v>362</v>
      </c>
      <c r="B182" s="17" t="s">
        <v>363</v>
      </c>
      <c r="C182" t="str">
        <f>VLOOKUP(A182,'Product Categories for FG'!A$2:A$269,1,0)</f>
        <v>2511-0202</v>
      </c>
    </row>
    <row r="183" spans="1:3">
      <c r="A183" s="18" t="s">
        <v>364</v>
      </c>
      <c r="B183" s="19" t="s">
        <v>365</v>
      </c>
      <c r="C183" t="str">
        <f>VLOOKUP(A183,'Product Categories for FG'!A$2:A$269,1,0)</f>
        <v>2511-0204</v>
      </c>
    </row>
    <row r="184" spans="1:3">
      <c r="A184" s="16" t="s">
        <v>366</v>
      </c>
      <c r="B184" s="17" t="s">
        <v>367</v>
      </c>
      <c r="C184" t="str">
        <f>VLOOKUP(A184,'Product Categories for FG'!A$2:A$269,1,0)</f>
        <v>2511-0205</v>
      </c>
    </row>
    <row r="185" spans="1:3">
      <c r="A185" s="18" t="s">
        <v>368</v>
      </c>
      <c r="B185" s="19" t="s">
        <v>369</v>
      </c>
      <c r="C185" t="str">
        <f>VLOOKUP(A185,'Product Categories for FG'!A$2:A$269,1,0)</f>
        <v>2511-0207</v>
      </c>
    </row>
    <row r="186" spans="1:3">
      <c r="A186" s="16" t="s">
        <v>370</v>
      </c>
      <c r="B186" s="17" t="s">
        <v>371</v>
      </c>
      <c r="C186" t="str">
        <f>VLOOKUP(A186,'Product Categories for FG'!A$2:A$269,1,0)</f>
        <v>2511-0213</v>
      </c>
    </row>
    <row r="187" spans="1:3">
      <c r="A187" s="18" t="s">
        <v>372</v>
      </c>
      <c r="B187" s="19" t="s">
        <v>373</v>
      </c>
      <c r="C187" t="str">
        <f>VLOOKUP(A187,'Product Categories for FG'!A$2:A$269,1,0)</f>
        <v>2511-0214</v>
      </c>
    </row>
    <row r="188" spans="1:3">
      <c r="A188" s="16" t="s">
        <v>374</v>
      </c>
      <c r="B188" s="17" t="s">
        <v>375</v>
      </c>
      <c r="C188" t="str">
        <f>VLOOKUP(A188,'Product Categories for FG'!A$2:A$269,1,0)</f>
        <v>2511-0215</v>
      </c>
    </row>
    <row r="189" spans="1:3">
      <c r="A189" s="18" t="s">
        <v>376</v>
      </c>
      <c r="B189" s="19" t="s">
        <v>377</v>
      </c>
      <c r="C189" t="str">
        <f>VLOOKUP(A189,'Product Categories for FG'!A$2:A$269,1,0)</f>
        <v>2511-0216</v>
      </c>
    </row>
    <row r="190" spans="1:3">
      <c r="A190" s="16" t="s">
        <v>378</v>
      </c>
      <c r="B190" s="17" t="s">
        <v>379</v>
      </c>
      <c r="C190" t="str">
        <f>VLOOKUP(A190,'Product Categories for FG'!A$2:A$269,1,0)</f>
        <v>2511-0217</v>
      </c>
    </row>
    <row r="191" spans="1:3">
      <c r="A191" s="18" t="s">
        <v>380</v>
      </c>
      <c r="B191" s="19" t="s">
        <v>381</v>
      </c>
      <c r="C191" t="str">
        <f>VLOOKUP(A191,'Product Categories for FG'!A$2:A$269,1,0)</f>
        <v>2511-0218</v>
      </c>
    </row>
    <row r="192" spans="1:3">
      <c r="A192" s="16" t="s">
        <v>382</v>
      </c>
      <c r="B192" s="17" t="s">
        <v>383</v>
      </c>
      <c r="C192" t="str">
        <f>VLOOKUP(A192,'Product Categories for FG'!A$2:A$269,1,0)</f>
        <v>2511-0219</v>
      </c>
    </row>
    <row r="193" spans="1:3">
      <c r="A193" s="18" t="s">
        <v>384</v>
      </c>
      <c r="B193" s="19" t="s">
        <v>385</v>
      </c>
      <c r="C193" t="str">
        <f>VLOOKUP(A193,'Product Categories for FG'!A$2:A$269,1,0)</f>
        <v>2511-0220</v>
      </c>
    </row>
    <row r="194" spans="1:3">
      <c r="A194" s="16" t="s">
        <v>386</v>
      </c>
      <c r="B194" s="17" t="s">
        <v>387</v>
      </c>
      <c r="C194" t="str">
        <f>VLOOKUP(A194,'Product Categories for FG'!A$2:A$269,1,0)</f>
        <v>2511-0221</v>
      </c>
    </row>
    <row r="195" spans="1:3">
      <c r="A195" s="18" t="s">
        <v>388</v>
      </c>
      <c r="B195" s="19" t="s">
        <v>389</v>
      </c>
      <c r="C195" t="str">
        <f>VLOOKUP(A195,'Product Categories for FG'!A$2:A$269,1,0)</f>
        <v>2511-0222</v>
      </c>
    </row>
    <row r="196" spans="1:3">
      <c r="A196" s="16" t="s">
        <v>390</v>
      </c>
      <c r="B196" s="17" t="s">
        <v>391</v>
      </c>
      <c r="C196" t="str">
        <f>VLOOKUP(A196,'Product Categories for FG'!A$2:A$269,1,0)</f>
        <v>2511-0223</v>
      </c>
    </row>
    <row r="197" spans="1:3">
      <c r="A197" s="18" t="s">
        <v>392</v>
      </c>
      <c r="B197" s="19" t="s">
        <v>393</v>
      </c>
      <c r="C197" t="str">
        <f>VLOOKUP(A197,'Product Categories for FG'!A$2:A$269,1,0)</f>
        <v>2511-0224</v>
      </c>
    </row>
    <row r="198" spans="1:3">
      <c r="A198" s="16" t="s">
        <v>394</v>
      </c>
      <c r="B198" s="17" t="s">
        <v>395</v>
      </c>
      <c r="C198" t="str">
        <f>VLOOKUP(A198,'Product Categories for FG'!A$2:A$269,1,0)</f>
        <v>2511-0225</v>
      </c>
    </row>
    <row r="199" spans="1:3">
      <c r="A199" s="18" t="s">
        <v>396</v>
      </c>
      <c r="B199" s="19" t="s">
        <v>397</v>
      </c>
      <c r="C199" t="str">
        <f>VLOOKUP(A199,'Product Categories for FG'!A$2:A$269,1,0)</f>
        <v>2511-0226</v>
      </c>
    </row>
    <row r="200" spans="1:3">
      <c r="A200" s="16" t="s">
        <v>398</v>
      </c>
      <c r="B200" s="17" t="s">
        <v>399</v>
      </c>
      <c r="C200" t="str">
        <f>VLOOKUP(A200,'Product Categories for FG'!A$2:A$269,1,0)</f>
        <v>2511-0227</v>
      </c>
    </row>
    <row r="201" spans="1:3">
      <c r="A201" s="18" t="s">
        <v>400</v>
      </c>
      <c r="B201" s="19" t="s">
        <v>401</v>
      </c>
      <c r="C201" t="str">
        <f>VLOOKUP(A201,'Product Categories for FG'!A$2:A$269,1,0)</f>
        <v>2511-0228</v>
      </c>
    </row>
    <row r="202" spans="1:3">
      <c r="A202" s="16" t="s">
        <v>402</v>
      </c>
      <c r="B202" s="17" t="s">
        <v>403</v>
      </c>
      <c r="C202" t="str">
        <f>VLOOKUP(A202,'Product Categories for FG'!A$2:A$269,1,0)</f>
        <v>2511-0229</v>
      </c>
    </row>
    <row r="203" spans="1:3">
      <c r="A203" s="18" t="s">
        <v>404</v>
      </c>
      <c r="B203" s="19" t="s">
        <v>405</v>
      </c>
      <c r="C203" t="str">
        <f>VLOOKUP(A203,'Product Categories for FG'!A$2:A$269,1,0)</f>
        <v>2511-0230</v>
      </c>
    </row>
    <row r="204" spans="1:3">
      <c r="A204" s="16" t="s">
        <v>406</v>
      </c>
      <c r="B204" s="17" t="s">
        <v>407</v>
      </c>
      <c r="C204" t="str">
        <f>VLOOKUP(A204,'Product Categories for FG'!A$2:A$269,1,0)</f>
        <v>2511-0231</v>
      </c>
    </row>
    <row r="205" spans="1:3">
      <c r="A205" s="18" t="s">
        <v>408</v>
      </c>
      <c r="B205" s="19" t="s">
        <v>409</v>
      </c>
      <c r="C205" t="str">
        <f>VLOOKUP(A205,'Product Categories for FG'!A$2:A$269,1,0)</f>
        <v>2511-0232</v>
      </c>
    </row>
    <row r="206" spans="1:3">
      <c r="A206" s="16" t="s">
        <v>410</v>
      </c>
      <c r="B206" s="17" t="s">
        <v>411</v>
      </c>
      <c r="C206" t="str">
        <f>VLOOKUP(A206,'Product Categories for FG'!A$2:A$269,1,0)</f>
        <v>2511-0234</v>
      </c>
    </row>
    <row r="207" spans="1:3">
      <c r="A207" s="18" t="s">
        <v>412</v>
      </c>
      <c r="B207" s="19" t="s">
        <v>413</v>
      </c>
      <c r="C207" t="str">
        <f>VLOOKUP(A207,'Product Categories for FG'!A$2:A$269,1,0)</f>
        <v>2511-0235</v>
      </c>
    </row>
    <row r="208" spans="1:3">
      <c r="A208" s="16" t="s">
        <v>414</v>
      </c>
      <c r="B208" s="17" t="s">
        <v>415</v>
      </c>
      <c r="C208" t="str">
        <f>VLOOKUP(A208,'Product Categories for FG'!A$2:A$269,1,0)</f>
        <v>2511-0236</v>
      </c>
    </row>
    <row r="209" spans="1:3">
      <c r="A209" s="18" t="s">
        <v>416</v>
      </c>
      <c r="B209" s="19" t="s">
        <v>413</v>
      </c>
      <c r="C209" t="str">
        <f>VLOOKUP(A209,'Product Categories for FG'!A$2:A$269,1,0)</f>
        <v>2511-0237</v>
      </c>
    </row>
    <row r="210" spans="1:3">
      <c r="A210" s="16" t="s">
        <v>417</v>
      </c>
      <c r="B210" s="17" t="s">
        <v>418</v>
      </c>
      <c r="C210" t="str">
        <f>VLOOKUP(A210,'Product Categories for FG'!A$2:A$269,1,0)</f>
        <v>2511-0239</v>
      </c>
    </row>
    <row r="211" spans="1:3">
      <c r="A211" s="18" t="s">
        <v>419</v>
      </c>
      <c r="B211" s="19" t="s">
        <v>420</v>
      </c>
      <c r="C211" t="str">
        <f>VLOOKUP(A211,'Product Categories for FG'!A$2:A$269,1,0)</f>
        <v>2511-0240</v>
      </c>
    </row>
    <row r="212" spans="1:3">
      <c r="A212" s="16" t="s">
        <v>421</v>
      </c>
      <c r="B212" s="17" t="s">
        <v>422</v>
      </c>
      <c r="C212" t="str">
        <f>VLOOKUP(A212,'Product Categories for FG'!A$2:A$269,1,0)</f>
        <v>2511-0241</v>
      </c>
    </row>
    <row r="213" spans="1:3">
      <c r="A213" s="18" t="s">
        <v>423</v>
      </c>
      <c r="B213" s="19" t="s">
        <v>424</v>
      </c>
      <c r="C213" t="str">
        <f>VLOOKUP(A213,'Product Categories for FG'!A$2:A$269,1,0)</f>
        <v>2511-0242</v>
      </c>
    </row>
    <row r="214" spans="1:3">
      <c r="A214" s="16" t="s">
        <v>425</v>
      </c>
      <c r="B214" s="17" t="s">
        <v>426</v>
      </c>
      <c r="C214" t="str">
        <f>VLOOKUP(A214,'Product Categories for FG'!A$2:A$269,1,0)</f>
        <v>2511-0243</v>
      </c>
    </row>
    <row r="215" spans="1:3">
      <c r="A215" s="18" t="s">
        <v>427</v>
      </c>
      <c r="B215" s="19" t="s">
        <v>428</v>
      </c>
      <c r="C215" t="str">
        <f>VLOOKUP(A215,'Product Categories for FG'!A$2:A$269,1,0)</f>
        <v>2511-0244</v>
      </c>
    </row>
    <row r="216" spans="1:3">
      <c r="A216" s="16" t="s">
        <v>429</v>
      </c>
      <c r="B216" s="17" t="s">
        <v>430</v>
      </c>
      <c r="C216" t="str">
        <f>VLOOKUP(A216,'Product Categories for FG'!A$2:A$269,1,0)</f>
        <v>2511-0245</v>
      </c>
    </row>
    <row r="217" spans="1:3">
      <c r="A217" s="18" t="s">
        <v>431</v>
      </c>
      <c r="B217" s="19" t="s">
        <v>432</v>
      </c>
      <c r="C217" t="str">
        <f>VLOOKUP(A217,'Product Categories for FG'!A$2:A$269,1,0)</f>
        <v>2511-0246</v>
      </c>
    </row>
    <row r="218" spans="1:3">
      <c r="A218" s="16" t="s">
        <v>433</v>
      </c>
      <c r="B218" s="17" t="s">
        <v>434</v>
      </c>
      <c r="C218" t="str">
        <f>VLOOKUP(A218,'Product Categories for FG'!A$2:A$269,1,0)</f>
        <v>2511-0247</v>
      </c>
    </row>
    <row r="219" spans="1:3">
      <c r="A219" s="18" t="s">
        <v>435</v>
      </c>
      <c r="B219" s="19" t="s">
        <v>436</v>
      </c>
      <c r="C219" t="str">
        <f>VLOOKUP(A219,'Product Categories for FG'!A$2:A$269,1,0)</f>
        <v>2511-0248</v>
      </c>
    </row>
    <row r="220" spans="1:3">
      <c r="A220" s="16" t="s">
        <v>437</v>
      </c>
      <c r="B220" s="17" t="s">
        <v>438</v>
      </c>
      <c r="C220" t="str">
        <f>VLOOKUP(A220,'Product Categories for FG'!A$2:A$269,1,0)</f>
        <v>2511-0249</v>
      </c>
    </row>
    <row r="221" spans="1:3">
      <c r="A221" s="18" t="s">
        <v>439</v>
      </c>
      <c r="B221" s="19" t="s">
        <v>440</v>
      </c>
      <c r="C221" t="str">
        <f>VLOOKUP(A221,'Product Categories for FG'!A$2:A$269,1,0)</f>
        <v>2511-0250</v>
      </c>
    </row>
    <row r="222" spans="1:3">
      <c r="A222" s="16" t="s">
        <v>441</v>
      </c>
      <c r="B222" s="17" t="s">
        <v>442</v>
      </c>
      <c r="C222" t="str">
        <f>VLOOKUP(A222,'Product Categories for FG'!A$2:A$269,1,0)</f>
        <v>2511-0251</v>
      </c>
    </row>
    <row r="223" spans="1:3">
      <c r="A223" s="18" t="s">
        <v>443</v>
      </c>
      <c r="B223" s="19" t="s">
        <v>444</v>
      </c>
      <c r="C223" t="str">
        <f>VLOOKUP(A223,'Product Categories for FG'!A$2:A$269,1,0)</f>
        <v>2511-0252</v>
      </c>
    </row>
    <row r="224" spans="1:3">
      <c r="A224" s="16" t="s">
        <v>445</v>
      </c>
      <c r="B224" s="17" t="s">
        <v>446</v>
      </c>
      <c r="C224" t="str">
        <f>VLOOKUP(A224,'Product Categories for FG'!A$2:A$269,1,0)</f>
        <v>2511-0253</v>
      </c>
    </row>
    <row r="225" spans="1:3">
      <c r="A225" s="18" t="s">
        <v>447</v>
      </c>
      <c r="B225" s="19" t="s">
        <v>448</v>
      </c>
      <c r="C225" t="str">
        <f>VLOOKUP(A225,'Product Categories for FG'!A$2:A$269,1,0)</f>
        <v>2511-0254</v>
      </c>
    </row>
    <row r="226" spans="1:3">
      <c r="A226" s="16" t="s">
        <v>449</v>
      </c>
      <c r="B226" s="17" t="s">
        <v>450</v>
      </c>
      <c r="C226" t="str">
        <f>VLOOKUP(A226,'Product Categories for FG'!A$2:A$269,1,0)</f>
        <v>2511-0255</v>
      </c>
    </row>
    <row r="227" spans="1:3">
      <c r="A227" s="18" t="s">
        <v>451</v>
      </c>
      <c r="B227" s="19" t="s">
        <v>452</v>
      </c>
      <c r="C227" t="str">
        <f>VLOOKUP(A227,'Product Categories for FG'!A$2:A$269,1,0)</f>
        <v>2511-0256</v>
      </c>
    </row>
    <row r="228" spans="1:3">
      <c r="A228" s="16" t="s">
        <v>453</v>
      </c>
      <c r="B228" s="17" t="s">
        <v>454</v>
      </c>
      <c r="C228" t="str">
        <f>VLOOKUP(A228,'Product Categories for FG'!A$2:A$269,1,0)</f>
        <v>2511-0257</v>
      </c>
    </row>
    <row r="229" spans="1:3">
      <c r="A229" s="18" t="s">
        <v>455</v>
      </c>
      <c r="B229" s="19" t="s">
        <v>456</v>
      </c>
      <c r="C229" t="str">
        <f>VLOOKUP(A229,'Product Categories for FG'!A$2:A$269,1,0)</f>
        <v>2511-0258</v>
      </c>
    </row>
    <row r="230" spans="1:3">
      <c r="A230" s="16" t="s">
        <v>457</v>
      </c>
      <c r="B230" s="17" t="s">
        <v>458</v>
      </c>
      <c r="C230" t="str">
        <f>VLOOKUP(A230,'Product Categories for FG'!A$2:A$269,1,0)</f>
        <v>2511-0259</v>
      </c>
    </row>
    <row r="231" spans="1:3">
      <c r="A231" s="18" t="s">
        <v>459</v>
      </c>
      <c r="B231" s="19" t="s">
        <v>460</v>
      </c>
      <c r="C231" t="str">
        <f>VLOOKUP(A231,'Product Categories for FG'!A$2:A$269,1,0)</f>
        <v>2511-0260</v>
      </c>
    </row>
    <row r="232" spans="1:3">
      <c r="A232" s="16" t="s">
        <v>461</v>
      </c>
      <c r="B232" s="17" t="s">
        <v>462</v>
      </c>
      <c r="C232" t="str">
        <f>VLOOKUP(A232,'Product Categories for FG'!A$2:A$269,1,0)</f>
        <v>2511-0261</v>
      </c>
    </row>
    <row r="233" spans="1:3">
      <c r="A233" s="18" t="s">
        <v>463</v>
      </c>
      <c r="B233" s="19" t="s">
        <v>464</v>
      </c>
      <c r="C233" t="str">
        <f>VLOOKUP(A233,'Product Categories for FG'!A$2:A$269,1,0)</f>
        <v>2511-0262</v>
      </c>
    </row>
    <row r="234" spans="1:3">
      <c r="A234" s="16" t="s">
        <v>465</v>
      </c>
      <c r="B234" s="17" t="s">
        <v>466</v>
      </c>
      <c r="C234" t="str">
        <f>VLOOKUP(A234,'Product Categories for FG'!A$2:A$269,1,0)</f>
        <v>2511-0263</v>
      </c>
    </row>
    <row r="235" spans="1:3">
      <c r="A235" s="18" t="s">
        <v>467</v>
      </c>
      <c r="B235" s="19" t="s">
        <v>468</v>
      </c>
      <c r="C235" t="str">
        <f>VLOOKUP(A235,'Product Categories for FG'!A$2:A$269,1,0)</f>
        <v>2511-0264</v>
      </c>
    </row>
    <row r="236" spans="1:3">
      <c r="A236" s="16" t="s">
        <v>469</v>
      </c>
      <c r="B236" s="17" t="s">
        <v>470</v>
      </c>
      <c r="C236" t="str">
        <f>VLOOKUP(A236,'Product Categories for FG'!A$2:A$269,1,0)</f>
        <v>2511-0265</v>
      </c>
    </row>
    <row r="237" spans="1:3">
      <c r="A237" s="18" t="s">
        <v>471</v>
      </c>
      <c r="B237" s="19" t="s">
        <v>472</v>
      </c>
      <c r="C237" t="str">
        <f>VLOOKUP(A237,'Product Categories for FG'!A$2:A$269,1,0)</f>
        <v>2511-0266</v>
      </c>
    </row>
    <row r="238" spans="1:3">
      <c r="A238" s="16" t="s">
        <v>473</v>
      </c>
      <c r="B238" s="17" t="s">
        <v>474</v>
      </c>
      <c r="C238" t="str">
        <f>VLOOKUP(A238,'Product Categories for FG'!A$2:A$269,1,0)</f>
        <v>2511-0267</v>
      </c>
    </row>
    <row r="239" spans="1:3">
      <c r="A239" s="18" t="s">
        <v>475</v>
      </c>
      <c r="B239" s="19" t="s">
        <v>476</v>
      </c>
      <c r="C239" t="str">
        <f>VLOOKUP(A239,'Product Categories for FG'!A$2:A$269,1,0)</f>
        <v>2511-0268</v>
      </c>
    </row>
    <row r="240" spans="1:3">
      <c r="A240" s="16" t="s">
        <v>477</v>
      </c>
      <c r="B240" s="17" t="s">
        <v>478</v>
      </c>
      <c r="C240" t="str">
        <f>VLOOKUP(A240,'Product Categories for FG'!A$2:A$269,1,0)</f>
        <v>2511-0269</v>
      </c>
    </row>
    <row r="241" spans="1:3">
      <c r="A241" s="18" t="s">
        <v>479</v>
      </c>
      <c r="B241" s="19" t="s">
        <v>480</v>
      </c>
      <c r="C241" t="str">
        <f>VLOOKUP(A241,'Product Categories for FG'!A$2:A$269,1,0)</f>
        <v>2511-0270</v>
      </c>
    </row>
    <row r="242" spans="1:3">
      <c r="A242" s="16" t="s">
        <v>481</v>
      </c>
      <c r="B242" s="17" t="s">
        <v>482</v>
      </c>
      <c r="C242" t="str">
        <f>VLOOKUP(A242,'Product Categories for FG'!A$2:A$269,1,0)</f>
        <v>2511-0271</v>
      </c>
    </row>
    <row r="243" spans="1:3">
      <c r="A243" s="18" t="s">
        <v>483</v>
      </c>
      <c r="B243" s="19" t="s">
        <v>484</v>
      </c>
      <c r="C243" t="str">
        <f>VLOOKUP(A243,'Product Categories for FG'!A$2:A$269,1,0)</f>
        <v>2511-0272</v>
      </c>
    </row>
    <row r="244" spans="1:3">
      <c r="A244" s="16" t="s">
        <v>485</v>
      </c>
      <c r="B244" s="17" t="s">
        <v>486</v>
      </c>
      <c r="C244" t="str">
        <f>VLOOKUP(A244,'Product Categories for FG'!A$2:A$269,1,0)</f>
        <v>2511-0273</v>
      </c>
    </row>
    <row r="245" spans="1:3">
      <c r="A245" s="18" t="s">
        <v>487</v>
      </c>
      <c r="B245" s="19" t="s">
        <v>488</v>
      </c>
      <c r="C245" t="str">
        <f>VLOOKUP(A245,'Product Categories for FG'!A$2:A$269,1,0)</f>
        <v>2511-0274</v>
      </c>
    </row>
    <row r="246" spans="1:3">
      <c r="A246" s="16" t="s">
        <v>489</v>
      </c>
      <c r="B246" s="17" t="s">
        <v>490</v>
      </c>
      <c r="C246" t="str">
        <f>VLOOKUP(A246,'Product Categories for FG'!A$2:A$269,1,0)</f>
        <v>2511-0275</v>
      </c>
    </row>
    <row r="247" spans="1:3">
      <c r="A247" s="18" t="s">
        <v>491</v>
      </c>
      <c r="B247" s="19" t="s">
        <v>492</v>
      </c>
      <c r="C247" t="str">
        <f>VLOOKUP(A247,'Product Categories for FG'!A$2:A$269,1,0)</f>
        <v>2511-0276</v>
      </c>
    </row>
    <row r="248" spans="1:3">
      <c r="A248" s="16" t="s">
        <v>493</v>
      </c>
      <c r="B248" s="17" t="s">
        <v>494</v>
      </c>
      <c r="C248" t="str">
        <f>VLOOKUP(A248,'Product Categories for FG'!A$2:A$269,1,0)</f>
        <v>2511-0277</v>
      </c>
    </row>
    <row r="249" spans="1:3">
      <c r="A249" s="18" t="s">
        <v>495</v>
      </c>
      <c r="B249" s="19" t="s">
        <v>496</v>
      </c>
      <c r="C249" t="str">
        <f>VLOOKUP(A249,'Product Categories for FG'!A$2:A$269,1,0)</f>
        <v>2511-0278</v>
      </c>
    </row>
    <row r="250" spans="1:3">
      <c r="A250" s="16" t="s">
        <v>497</v>
      </c>
      <c r="B250" s="17" t="s">
        <v>498</v>
      </c>
      <c r="C250" t="str">
        <f>VLOOKUP(A250,'Product Categories for FG'!A$2:A$269,1,0)</f>
        <v>2511-0279</v>
      </c>
    </row>
    <row r="251" spans="1:3">
      <c r="A251" s="18" t="s">
        <v>499</v>
      </c>
      <c r="B251" s="19" t="s">
        <v>500</v>
      </c>
      <c r="C251" t="str">
        <f>VLOOKUP(A251,'Product Categories for FG'!A$2:A$269,1,0)</f>
        <v>2511-0280</v>
      </c>
    </row>
    <row r="252" spans="1:3">
      <c r="A252" s="16" t="s">
        <v>501</v>
      </c>
      <c r="B252" s="17"/>
      <c r="C252" t="str">
        <f>VLOOKUP(A252,'Product Categories for FG'!A$2:A$269,1,0)</f>
        <v>2511-0281</v>
      </c>
    </row>
    <row r="253" spans="1:3">
      <c r="A253" s="18" t="s">
        <v>502</v>
      </c>
      <c r="B253" s="19" t="s">
        <v>503</v>
      </c>
      <c r="C253" t="str">
        <f>VLOOKUP(A253,'Product Categories for FG'!A$2:A$269,1,0)</f>
        <v>2511-0283</v>
      </c>
    </row>
  </sheetData>
  <autoFilter ref="A1:C253" xr:uid="{2C2442C6-3486-46D6-AC07-79776B8967F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9082D-AB15-498A-9796-6634B2F2B91C}">
  <dimension ref="A1:E38"/>
  <sheetViews>
    <sheetView workbookViewId="0">
      <selection activeCell="I9" sqref="I9"/>
    </sheetView>
  </sheetViews>
  <sheetFormatPr defaultColWidth="8.85546875" defaultRowHeight="15"/>
  <cols>
    <col min="2" max="2" width="26.7109375" bestFit="1" customWidth="1"/>
    <col min="5" max="5" width="10.140625" bestFit="1" customWidth="1"/>
  </cols>
  <sheetData>
    <row r="1" spans="1:5">
      <c r="A1" s="1" t="s">
        <v>504</v>
      </c>
      <c r="B1" s="1" t="s">
        <v>505</v>
      </c>
      <c r="C1" s="1" t="s">
        <v>506</v>
      </c>
      <c r="D1" s="1" t="s">
        <v>507</v>
      </c>
      <c r="E1" s="1" t="s">
        <v>508</v>
      </c>
    </row>
    <row r="2" spans="1:5">
      <c r="A2" s="1" t="s">
        <v>509</v>
      </c>
      <c r="B2" s="1" t="s">
        <v>510</v>
      </c>
      <c r="C2" s="1">
        <v>2</v>
      </c>
      <c r="D2" s="1">
        <v>37</v>
      </c>
      <c r="E2" s="1" t="s">
        <v>511</v>
      </c>
    </row>
    <row r="3" spans="1:5">
      <c r="A3" s="1" t="s">
        <v>512</v>
      </c>
      <c r="B3" s="1" t="s">
        <v>513</v>
      </c>
      <c r="C3" s="1">
        <v>1</v>
      </c>
      <c r="D3" s="1">
        <v>35</v>
      </c>
      <c r="E3" s="1" t="s">
        <v>511</v>
      </c>
    </row>
    <row r="4" spans="1:5">
      <c r="A4" s="1" t="s">
        <v>514</v>
      </c>
      <c r="B4" s="1" t="s">
        <v>515</v>
      </c>
      <c r="C4" s="1">
        <v>3</v>
      </c>
      <c r="D4" s="1">
        <v>12</v>
      </c>
      <c r="E4" s="1" t="s">
        <v>516</v>
      </c>
    </row>
    <row r="5" spans="1:5">
      <c r="A5" s="1" t="s">
        <v>517</v>
      </c>
      <c r="B5" s="1" t="s">
        <v>518</v>
      </c>
      <c r="C5" s="1">
        <v>4</v>
      </c>
      <c r="D5" s="1">
        <v>18</v>
      </c>
      <c r="E5" s="1" t="s">
        <v>516</v>
      </c>
    </row>
    <row r="6" spans="1:5">
      <c r="A6" s="1" t="s">
        <v>519</v>
      </c>
      <c r="B6" s="1" t="s">
        <v>520</v>
      </c>
      <c r="C6" s="1">
        <v>5</v>
      </c>
      <c r="D6" s="1">
        <v>10</v>
      </c>
      <c r="E6" s="1" t="s">
        <v>521</v>
      </c>
    </row>
    <row r="7" spans="1:5">
      <c r="A7" s="1" t="s">
        <v>522</v>
      </c>
      <c r="B7" s="1" t="s">
        <v>523</v>
      </c>
      <c r="C7" s="1">
        <v>33</v>
      </c>
      <c r="D7" s="1">
        <v>22</v>
      </c>
      <c r="E7" s="1" t="s">
        <v>524</v>
      </c>
    </row>
    <row r="8" spans="1:5">
      <c r="A8" s="1" t="s">
        <v>525</v>
      </c>
      <c r="B8" s="1" t="s">
        <v>526</v>
      </c>
      <c r="C8" s="1">
        <v>6</v>
      </c>
      <c r="D8" s="1">
        <v>4</v>
      </c>
      <c r="E8" s="1" t="s">
        <v>527</v>
      </c>
    </row>
    <row r="9" spans="1:5">
      <c r="A9" s="1" t="s">
        <v>528</v>
      </c>
      <c r="B9" s="1" t="s">
        <v>529</v>
      </c>
      <c r="C9" s="1">
        <v>8</v>
      </c>
      <c r="D9" s="1">
        <v>25</v>
      </c>
      <c r="E9" s="1" t="s">
        <v>530</v>
      </c>
    </row>
    <row r="10" spans="1:5">
      <c r="A10" s="1" t="s">
        <v>531</v>
      </c>
      <c r="B10" s="1" t="s">
        <v>532</v>
      </c>
      <c r="C10" s="1">
        <v>9</v>
      </c>
      <c r="D10" s="1">
        <v>7</v>
      </c>
      <c r="E10" s="1" t="s">
        <v>527</v>
      </c>
    </row>
    <row r="11" spans="1:5">
      <c r="A11" s="1" t="s">
        <v>533</v>
      </c>
      <c r="B11" s="1" t="s">
        <v>534</v>
      </c>
      <c r="C11" s="1">
        <v>7</v>
      </c>
      <c r="D11" s="1">
        <v>26</v>
      </c>
      <c r="E11" s="1" t="s">
        <v>530</v>
      </c>
    </row>
    <row r="12" spans="1:5">
      <c r="A12" s="1" t="s">
        <v>535</v>
      </c>
      <c r="B12" s="1" t="s">
        <v>536</v>
      </c>
      <c r="C12" s="1">
        <v>10</v>
      </c>
      <c r="D12" s="1">
        <v>30</v>
      </c>
      <c r="E12" s="1" t="s">
        <v>530</v>
      </c>
    </row>
    <row r="13" spans="1:5">
      <c r="A13" s="1" t="s">
        <v>537</v>
      </c>
      <c r="B13" s="1" t="s">
        <v>538</v>
      </c>
      <c r="C13" s="1">
        <v>11</v>
      </c>
      <c r="D13" s="1">
        <v>24</v>
      </c>
      <c r="E13" s="1" t="s">
        <v>530</v>
      </c>
    </row>
    <row r="14" spans="1:5">
      <c r="A14" s="1" t="s">
        <v>539</v>
      </c>
      <c r="B14" s="1" t="s">
        <v>540</v>
      </c>
      <c r="C14" s="1">
        <v>13</v>
      </c>
      <c r="D14" s="1">
        <v>2</v>
      </c>
      <c r="E14" s="1" t="s">
        <v>527</v>
      </c>
    </row>
    <row r="15" spans="1:5">
      <c r="A15" s="1" t="s">
        <v>541</v>
      </c>
      <c r="B15" s="1" t="s">
        <v>542</v>
      </c>
      <c r="C15" s="1">
        <v>12</v>
      </c>
      <c r="D15" s="1">
        <v>6</v>
      </c>
      <c r="E15" s="1" t="s">
        <v>527</v>
      </c>
    </row>
    <row r="16" spans="1:5">
      <c r="A16" s="1" t="s">
        <v>543</v>
      </c>
      <c r="B16" s="1" t="s">
        <v>544</v>
      </c>
      <c r="C16" s="1">
        <v>35</v>
      </c>
      <c r="D16" s="1">
        <v>20</v>
      </c>
      <c r="E16" s="1" t="s">
        <v>521</v>
      </c>
    </row>
    <row r="17" spans="1:5">
      <c r="A17" s="1" t="s">
        <v>545</v>
      </c>
      <c r="B17" s="1" t="s">
        <v>546</v>
      </c>
      <c r="C17" s="1">
        <v>14</v>
      </c>
      <c r="D17" s="1">
        <v>1</v>
      </c>
      <c r="E17" s="1" t="s">
        <v>527</v>
      </c>
    </row>
    <row r="18" spans="1:5">
      <c r="A18" s="1" t="s">
        <v>547</v>
      </c>
      <c r="B18" s="1" t="s">
        <v>548</v>
      </c>
      <c r="C18" s="1">
        <v>15</v>
      </c>
      <c r="D18" s="1">
        <v>29</v>
      </c>
      <c r="E18" s="1" t="s">
        <v>511</v>
      </c>
    </row>
    <row r="19" spans="1:5">
      <c r="A19" s="1" t="s">
        <v>549</v>
      </c>
      <c r="B19" s="1" t="s">
        <v>550</v>
      </c>
      <c r="C19" s="1">
        <v>16</v>
      </c>
      <c r="D19" s="1">
        <v>32</v>
      </c>
      <c r="E19" s="1" t="s">
        <v>511</v>
      </c>
    </row>
    <row r="20" spans="1:5">
      <c r="A20" s="1" t="s">
        <v>551</v>
      </c>
      <c r="B20" s="1" t="s">
        <v>552</v>
      </c>
      <c r="C20" s="1">
        <v>37</v>
      </c>
      <c r="D20" s="1">
        <v>38</v>
      </c>
      <c r="E20" s="1" t="s">
        <v>527</v>
      </c>
    </row>
    <row r="21" spans="1:5">
      <c r="A21" s="1" t="s">
        <v>553</v>
      </c>
      <c r="B21" s="1" t="s">
        <v>554</v>
      </c>
      <c r="C21" s="1">
        <v>17</v>
      </c>
      <c r="D21" s="1">
        <v>31</v>
      </c>
      <c r="E21" s="1" t="s">
        <v>511</v>
      </c>
    </row>
    <row r="22" spans="1:5">
      <c r="A22" s="1" t="s">
        <v>555</v>
      </c>
      <c r="B22" s="1" t="s">
        <v>556</v>
      </c>
      <c r="C22" s="1">
        <v>19</v>
      </c>
      <c r="D22" s="1">
        <v>27</v>
      </c>
      <c r="E22" s="1" t="s">
        <v>530</v>
      </c>
    </row>
    <row r="23" spans="1:5">
      <c r="A23" s="1" t="s">
        <v>557</v>
      </c>
      <c r="B23" s="1" t="s">
        <v>558</v>
      </c>
      <c r="C23" s="1">
        <v>21</v>
      </c>
      <c r="D23" s="1">
        <v>17</v>
      </c>
      <c r="E23" s="1" t="s">
        <v>516</v>
      </c>
    </row>
    <row r="24" spans="1:5">
      <c r="A24" s="1" t="s">
        <v>559</v>
      </c>
      <c r="B24" s="1" t="s">
        <v>560</v>
      </c>
      <c r="C24" s="1">
        <v>20</v>
      </c>
      <c r="D24" s="1">
        <v>14</v>
      </c>
      <c r="E24" s="1" t="s">
        <v>516</v>
      </c>
    </row>
    <row r="25" spans="1:5">
      <c r="A25" s="1" t="s">
        <v>561</v>
      </c>
      <c r="B25" s="1" t="s">
        <v>562</v>
      </c>
      <c r="C25" s="1">
        <v>18</v>
      </c>
      <c r="D25" s="1">
        <v>23</v>
      </c>
      <c r="E25" s="1" t="s">
        <v>524</v>
      </c>
    </row>
    <row r="26" spans="1:5">
      <c r="A26" s="1" t="s">
        <v>563</v>
      </c>
      <c r="B26" s="1" t="s">
        <v>564</v>
      </c>
      <c r="C26" s="1">
        <v>22</v>
      </c>
      <c r="D26" s="1">
        <v>15</v>
      </c>
      <c r="E26" s="1" t="s">
        <v>516</v>
      </c>
    </row>
    <row r="27" spans="1:5">
      <c r="A27" s="1" t="s">
        <v>565</v>
      </c>
      <c r="B27" s="1" t="s">
        <v>566</v>
      </c>
      <c r="C27" s="1">
        <v>23</v>
      </c>
      <c r="D27" s="1">
        <v>13</v>
      </c>
      <c r="E27" s="1" t="s">
        <v>516</v>
      </c>
    </row>
    <row r="28" spans="1:5">
      <c r="A28" s="1" t="s">
        <v>567</v>
      </c>
      <c r="B28" s="1" t="s">
        <v>568</v>
      </c>
      <c r="C28" s="1">
        <v>24</v>
      </c>
      <c r="D28" s="1">
        <v>21</v>
      </c>
      <c r="E28" s="1" t="s">
        <v>521</v>
      </c>
    </row>
    <row r="29" spans="1:5">
      <c r="A29" s="1" t="s">
        <v>569</v>
      </c>
      <c r="B29" s="1" t="s">
        <v>570</v>
      </c>
      <c r="C29" s="1">
        <v>26</v>
      </c>
      <c r="D29" s="1">
        <v>3</v>
      </c>
      <c r="E29" s="1" t="s">
        <v>527</v>
      </c>
    </row>
    <row r="30" spans="1:5">
      <c r="A30" s="1" t="s">
        <v>571</v>
      </c>
      <c r="B30" s="1" t="s">
        <v>572</v>
      </c>
      <c r="C30" s="1">
        <v>25</v>
      </c>
      <c r="D30" s="1">
        <v>34</v>
      </c>
      <c r="E30" s="1" t="s">
        <v>511</v>
      </c>
    </row>
    <row r="31" spans="1:5">
      <c r="A31" s="1" t="s">
        <v>573</v>
      </c>
      <c r="B31" s="1" t="s">
        <v>574</v>
      </c>
      <c r="C31" s="1">
        <v>27</v>
      </c>
      <c r="D31" s="1">
        <v>8</v>
      </c>
      <c r="E31" s="1" t="s">
        <v>527</v>
      </c>
    </row>
    <row r="32" spans="1:5">
      <c r="A32" s="1" t="s">
        <v>575</v>
      </c>
      <c r="B32" s="1" t="s">
        <v>576</v>
      </c>
      <c r="C32" s="1">
        <v>28</v>
      </c>
      <c r="D32" s="1">
        <v>11</v>
      </c>
      <c r="E32" s="1" t="s">
        <v>516</v>
      </c>
    </row>
    <row r="33" spans="1:5">
      <c r="A33" s="1" t="s">
        <v>577</v>
      </c>
      <c r="B33" s="1" t="s">
        <v>578</v>
      </c>
      <c r="C33" s="1">
        <v>29</v>
      </c>
      <c r="D33" s="1">
        <v>33</v>
      </c>
      <c r="E33" s="1" t="s">
        <v>511</v>
      </c>
    </row>
    <row r="34" spans="1:5">
      <c r="A34" s="1" t="s">
        <v>579</v>
      </c>
      <c r="B34" s="1" t="s">
        <v>580</v>
      </c>
      <c r="C34" s="1">
        <v>30</v>
      </c>
      <c r="D34" s="1">
        <v>16</v>
      </c>
      <c r="E34" s="1" t="s">
        <v>516</v>
      </c>
    </row>
    <row r="35" spans="1:5">
      <c r="A35" s="1" t="s">
        <v>581</v>
      </c>
      <c r="B35" s="1" t="s">
        <v>582</v>
      </c>
      <c r="C35" s="1">
        <v>36</v>
      </c>
      <c r="D35" s="1">
        <v>36</v>
      </c>
      <c r="E35" s="1" t="s">
        <v>511</v>
      </c>
    </row>
    <row r="36" spans="1:5">
      <c r="A36" s="1" t="s">
        <v>583</v>
      </c>
      <c r="B36" s="1" t="s">
        <v>584</v>
      </c>
      <c r="C36" s="1">
        <v>34</v>
      </c>
      <c r="D36" s="1">
        <v>5</v>
      </c>
      <c r="E36" s="1" t="s">
        <v>524</v>
      </c>
    </row>
    <row r="37" spans="1:5">
      <c r="A37" s="1" t="s">
        <v>585</v>
      </c>
      <c r="B37" s="1" t="s">
        <v>586</v>
      </c>
      <c r="C37" s="1">
        <v>31</v>
      </c>
      <c r="D37" s="1">
        <v>9</v>
      </c>
      <c r="E37" s="1" t="s">
        <v>524</v>
      </c>
    </row>
    <row r="38" spans="1:5">
      <c r="A38" s="1" t="s">
        <v>587</v>
      </c>
      <c r="B38" s="1" t="s">
        <v>588</v>
      </c>
      <c r="C38" s="1">
        <v>32</v>
      </c>
      <c r="D38" s="1">
        <v>19</v>
      </c>
      <c r="E38" s="1" t="s">
        <v>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AAFA9-DC09-4EAF-821F-D49743B4FD7A}">
  <dimension ref="A1:G253"/>
  <sheetViews>
    <sheetView topLeftCell="A245" workbookViewId="0">
      <selection activeCell="H1" sqref="H1"/>
    </sheetView>
  </sheetViews>
  <sheetFormatPr defaultColWidth="8.85546875" defaultRowHeight="15"/>
  <cols>
    <col min="1" max="1" width="10.42578125" style="4" bestFit="1" customWidth="1"/>
    <col min="2" max="2" width="48.7109375" customWidth="1"/>
    <col min="3" max="3" width="31.28515625" bestFit="1" customWidth="1"/>
    <col min="4" max="4" width="38.42578125" bestFit="1" customWidth="1"/>
    <col min="5" max="5" width="28.28515625" bestFit="1" customWidth="1"/>
    <col min="6" max="6" width="24.140625" bestFit="1" customWidth="1"/>
  </cols>
  <sheetData>
    <row r="1" spans="1:7" ht="15.95">
      <c r="A1" s="3" t="s">
        <v>0</v>
      </c>
      <c r="B1" s="1" t="s">
        <v>589</v>
      </c>
      <c r="C1" s="1" t="s">
        <v>590</v>
      </c>
      <c r="D1" s="1" t="s">
        <v>591</v>
      </c>
      <c r="E1" s="1" t="s">
        <v>592</v>
      </c>
      <c r="F1" s="2" t="s">
        <v>593</v>
      </c>
      <c r="G1" t="s">
        <v>594</v>
      </c>
    </row>
    <row r="2" spans="1:7">
      <c r="A2" s="3" t="s">
        <v>3</v>
      </c>
      <c r="B2" s="1" t="s">
        <v>4</v>
      </c>
      <c r="C2" s="1" t="s">
        <v>595</v>
      </c>
      <c r="D2" s="1" t="s">
        <v>596</v>
      </c>
      <c r="E2" s="1" t="s">
        <v>597</v>
      </c>
      <c r="F2" s="1" t="s">
        <v>598</v>
      </c>
    </row>
    <row r="3" spans="1:7">
      <c r="A3" s="3" t="s">
        <v>5</v>
      </c>
      <c r="B3" s="1" t="s">
        <v>6</v>
      </c>
      <c r="C3" s="1" t="s">
        <v>595</v>
      </c>
      <c r="D3" s="1" t="s">
        <v>599</v>
      </c>
      <c r="E3" s="1" t="s">
        <v>600</v>
      </c>
      <c r="F3" s="1" t="s">
        <v>601</v>
      </c>
    </row>
    <row r="4" spans="1:7">
      <c r="A4" s="3" t="s">
        <v>7</v>
      </c>
      <c r="B4" s="1" t="s">
        <v>8</v>
      </c>
      <c r="C4" s="1" t="s">
        <v>595</v>
      </c>
      <c r="D4" s="1" t="s">
        <v>596</v>
      </c>
      <c r="E4" s="1" t="s">
        <v>597</v>
      </c>
      <c r="F4" s="1" t="s">
        <v>602</v>
      </c>
    </row>
    <row r="5" spans="1:7">
      <c r="A5" s="3" t="s">
        <v>9</v>
      </c>
      <c r="B5" s="1" t="s">
        <v>10</v>
      </c>
      <c r="C5" s="1" t="s">
        <v>595</v>
      </c>
      <c r="D5" s="1" t="s">
        <v>596</v>
      </c>
      <c r="E5" s="1" t="s">
        <v>597</v>
      </c>
      <c r="F5" s="1" t="s">
        <v>603</v>
      </c>
    </row>
    <row r="6" spans="1:7">
      <c r="A6" s="3" t="s">
        <v>11</v>
      </c>
      <c r="B6" s="1" t="s">
        <v>12</v>
      </c>
      <c r="C6" s="1" t="s">
        <v>595</v>
      </c>
      <c r="D6" s="1" t="s">
        <v>596</v>
      </c>
      <c r="E6" s="1" t="s">
        <v>597</v>
      </c>
      <c r="F6" s="1" t="s">
        <v>604</v>
      </c>
    </row>
    <row r="7" spans="1:7">
      <c r="A7" s="3" t="s">
        <v>13</v>
      </c>
      <c r="B7" s="1" t="s">
        <v>14</v>
      </c>
      <c r="C7" s="1" t="s">
        <v>595</v>
      </c>
      <c r="D7" s="1" t="s">
        <v>596</v>
      </c>
      <c r="E7" s="1" t="s">
        <v>605</v>
      </c>
      <c r="F7" s="1" t="s">
        <v>606</v>
      </c>
    </row>
    <row r="8" spans="1:7">
      <c r="A8" s="3" t="s">
        <v>15</v>
      </c>
      <c r="B8" s="1" t="s">
        <v>16</v>
      </c>
      <c r="C8" s="1" t="s">
        <v>595</v>
      </c>
      <c r="D8" s="1" t="s">
        <v>596</v>
      </c>
      <c r="E8" s="1" t="s">
        <v>605</v>
      </c>
      <c r="F8" s="1" t="s">
        <v>607</v>
      </c>
    </row>
    <row r="9" spans="1:7">
      <c r="A9" s="3" t="s">
        <v>17</v>
      </c>
      <c r="B9" s="1" t="s">
        <v>18</v>
      </c>
      <c r="C9" s="1" t="s">
        <v>595</v>
      </c>
      <c r="D9" s="1" t="s">
        <v>596</v>
      </c>
      <c r="E9" s="1" t="s">
        <v>608</v>
      </c>
      <c r="F9" s="1" t="s">
        <v>609</v>
      </c>
    </row>
    <row r="10" spans="1:7">
      <c r="A10" s="3" t="s">
        <v>19</v>
      </c>
      <c r="B10" s="1" t="s">
        <v>20</v>
      </c>
      <c r="C10" s="1" t="s">
        <v>595</v>
      </c>
      <c r="D10" s="1" t="s">
        <v>596</v>
      </c>
      <c r="E10" s="1" t="s">
        <v>608</v>
      </c>
      <c r="F10" s="1" t="s">
        <v>610</v>
      </c>
    </row>
    <row r="11" spans="1:7">
      <c r="A11" s="3" t="s">
        <v>21</v>
      </c>
      <c r="B11" s="1" t="s">
        <v>22</v>
      </c>
      <c r="C11" s="1" t="s">
        <v>595</v>
      </c>
      <c r="D11" s="1" t="s">
        <v>596</v>
      </c>
      <c r="E11" s="1" t="s">
        <v>597</v>
      </c>
      <c r="F11" s="1" t="s">
        <v>604</v>
      </c>
    </row>
    <row r="12" spans="1:7">
      <c r="A12" s="3" t="s">
        <v>23</v>
      </c>
      <c r="B12" s="1" t="s">
        <v>24</v>
      </c>
      <c r="C12" s="1" t="s">
        <v>595</v>
      </c>
      <c r="D12" s="1" t="s">
        <v>596</v>
      </c>
      <c r="E12" s="1" t="s">
        <v>605</v>
      </c>
      <c r="F12" s="1" t="s">
        <v>607</v>
      </c>
    </row>
    <row r="13" spans="1:7" ht="15.75">
      <c r="A13" s="3" t="s">
        <v>25</v>
      </c>
      <c r="B13" s="1" t="s">
        <v>26</v>
      </c>
      <c r="C13" s="1" t="s">
        <v>595</v>
      </c>
      <c r="D13" s="1" t="s">
        <v>599</v>
      </c>
      <c r="E13" s="1" t="s">
        <v>611</v>
      </c>
      <c r="F13" s="2" t="s">
        <v>612</v>
      </c>
    </row>
    <row r="14" spans="1:7">
      <c r="A14" s="3" t="s">
        <v>27</v>
      </c>
      <c r="B14" s="1" t="s">
        <v>28</v>
      </c>
      <c r="C14" s="1" t="s">
        <v>595</v>
      </c>
      <c r="D14" s="1" t="s">
        <v>599</v>
      </c>
      <c r="E14" s="1" t="s">
        <v>613</v>
      </c>
      <c r="F14" s="1" t="s">
        <v>614</v>
      </c>
    </row>
    <row r="15" spans="1:7">
      <c r="A15" s="3" t="s">
        <v>29</v>
      </c>
      <c r="B15" s="1" t="s">
        <v>30</v>
      </c>
      <c r="C15" s="1" t="s">
        <v>595</v>
      </c>
      <c r="D15" s="1" t="s">
        <v>599</v>
      </c>
      <c r="E15" s="1" t="s">
        <v>613</v>
      </c>
      <c r="F15" s="1" t="s">
        <v>615</v>
      </c>
    </row>
    <row r="16" spans="1:7">
      <c r="A16" s="3" t="s">
        <v>31</v>
      </c>
      <c r="B16" s="1" t="s">
        <v>32</v>
      </c>
      <c r="C16" s="1" t="s">
        <v>595</v>
      </c>
      <c r="D16" s="1" t="s">
        <v>599</v>
      </c>
      <c r="E16" s="1" t="s">
        <v>616</v>
      </c>
      <c r="F16" s="1" t="s">
        <v>617</v>
      </c>
    </row>
    <row r="17" spans="1:6">
      <c r="A17" s="3" t="s">
        <v>33</v>
      </c>
      <c r="B17" s="1" t="s">
        <v>34</v>
      </c>
      <c r="C17" s="1" t="s">
        <v>595</v>
      </c>
      <c r="D17" s="1" t="s">
        <v>599</v>
      </c>
      <c r="E17" s="1" t="s">
        <v>608</v>
      </c>
      <c r="F17" s="1" t="s">
        <v>618</v>
      </c>
    </row>
    <row r="18" spans="1:6">
      <c r="A18" s="3" t="s">
        <v>35</v>
      </c>
      <c r="B18" s="1" t="s">
        <v>36</v>
      </c>
      <c r="C18" s="1" t="s">
        <v>595</v>
      </c>
      <c r="D18" s="1" t="s">
        <v>599</v>
      </c>
      <c r="E18" s="1" t="s">
        <v>616</v>
      </c>
      <c r="F18" s="1" t="s">
        <v>617</v>
      </c>
    </row>
    <row r="19" spans="1:6">
      <c r="A19" s="3" t="s">
        <v>37</v>
      </c>
      <c r="B19" s="1" t="s">
        <v>38</v>
      </c>
      <c r="C19" s="1" t="s">
        <v>595</v>
      </c>
      <c r="D19" s="1" t="s">
        <v>599</v>
      </c>
      <c r="E19" s="1" t="s">
        <v>616</v>
      </c>
      <c r="F19" s="1" t="s">
        <v>617</v>
      </c>
    </row>
    <row r="20" spans="1:6">
      <c r="A20" s="3" t="s">
        <v>39</v>
      </c>
      <c r="B20" s="1" t="s">
        <v>40</v>
      </c>
      <c r="C20" s="1" t="s">
        <v>595</v>
      </c>
      <c r="D20" s="1" t="s">
        <v>599</v>
      </c>
      <c r="E20" s="1" t="s">
        <v>616</v>
      </c>
      <c r="F20" s="1" t="s">
        <v>617</v>
      </c>
    </row>
    <row r="21" spans="1:6">
      <c r="A21" s="3" t="s">
        <v>41</v>
      </c>
      <c r="B21" s="1" t="s">
        <v>42</v>
      </c>
      <c r="C21" s="1" t="s">
        <v>595</v>
      </c>
      <c r="D21" s="1" t="s">
        <v>599</v>
      </c>
      <c r="E21" s="1" t="s">
        <v>616</v>
      </c>
      <c r="F21" s="1" t="s">
        <v>617</v>
      </c>
    </row>
    <row r="22" spans="1:6">
      <c r="A22" s="3" t="s">
        <v>43</v>
      </c>
      <c r="B22" s="1" t="s">
        <v>44</v>
      </c>
      <c r="C22" s="1" t="s">
        <v>595</v>
      </c>
      <c r="D22" s="1" t="s">
        <v>599</v>
      </c>
      <c r="E22" s="1" t="s">
        <v>600</v>
      </c>
      <c r="F22" s="1" t="s">
        <v>619</v>
      </c>
    </row>
    <row r="23" spans="1:6">
      <c r="A23" s="3" t="s">
        <v>45</v>
      </c>
      <c r="B23" s="1" t="s">
        <v>46</v>
      </c>
      <c r="C23" s="1" t="s">
        <v>595</v>
      </c>
      <c r="D23" s="1" t="s">
        <v>599</v>
      </c>
      <c r="E23" s="1" t="s">
        <v>600</v>
      </c>
      <c r="F23" s="1" t="s">
        <v>620</v>
      </c>
    </row>
    <row r="24" spans="1:6">
      <c r="A24" s="3" t="s">
        <v>47</v>
      </c>
      <c r="B24" s="1" t="s">
        <v>48</v>
      </c>
      <c r="C24" s="1" t="s">
        <v>595</v>
      </c>
      <c r="D24" s="1" t="s">
        <v>596</v>
      </c>
      <c r="E24" s="1" t="s">
        <v>597</v>
      </c>
      <c r="F24" s="1" t="s">
        <v>621</v>
      </c>
    </row>
    <row r="25" spans="1:6">
      <c r="A25" s="3" t="s">
        <v>49</v>
      </c>
      <c r="B25" s="1" t="s">
        <v>50</v>
      </c>
      <c r="C25" s="1" t="s">
        <v>595</v>
      </c>
      <c r="D25" s="1" t="s">
        <v>599</v>
      </c>
      <c r="E25" s="1" t="s">
        <v>613</v>
      </c>
      <c r="F25" s="1" t="s">
        <v>622</v>
      </c>
    </row>
    <row r="26" spans="1:6">
      <c r="A26" s="3" t="s">
        <v>51</v>
      </c>
      <c r="B26" s="1" t="s">
        <v>52</v>
      </c>
      <c r="C26" s="1" t="s">
        <v>595</v>
      </c>
      <c r="D26" s="1" t="s">
        <v>599</v>
      </c>
      <c r="E26" s="1" t="s">
        <v>613</v>
      </c>
      <c r="F26" s="1" t="s">
        <v>623</v>
      </c>
    </row>
    <row r="27" spans="1:6">
      <c r="A27" s="3" t="s">
        <v>53</v>
      </c>
      <c r="B27" s="1" t="s">
        <v>54</v>
      </c>
      <c r="C27" s="1" t="s">
        <v>595</v>
      </c>
      <c r="D27" s="1" t="s">
        <v>599</v>
      </c>
      <c r="E27" s="1" t="s">
        <v>613</v>
      </c>
      <c r="F27" s="1" t="s">
        <v>624</v>
      </c>
    </row>
    <row r="28" spans="1:6">
      <c r="A28" s="3" t="s">
        <v>55</v>
      </c>
      <c r="B28" s="1" t="s">
        <v>56</v>
      </c>
      <c r="C28" s="1" t="s">
        <v>595</v>
      </c>
      <c r="D28" s="1" t="s">
        <v>599</v>
      </c>
      <c r="E28" s="1" t="s">
        <v>613</v>
      </c>
      <c r="F28" s="1" t="s">
        <v>625</v>
      </c>
    </row>
    <row r="29" spans="1:6">
      <c r="A29" s="3" t="s">
        <v>57</v>
      </c>
      <c r="B29" s="1" t="s">
        <v>58</v>
      </c>
      <c r="C29" s="1" t="s">
        <v>595</v>
      </c>
      <c r="D29" s="1" t="s">
        <v>596</v>
      </c>
      <c r="E29" s="1" t="s">
        <v>605</v>
      </c>
      <c r="F29" s="1" t="s">
        <v>626</v>
      </c>
    </row>
    <row r="30" spans="1:6" ht="15.75">
      <c r="A30" s="3" t="s">
        <v>59</v>
      </c>
      <c r="B30" s="1" t="s">
        <v>60</v>
      </c>
      <c r="C30" s="1" t="s">
        <v>595</v>
      </c>
      <c r="D30" s="1" t="s">
        <v>599</v>
      </c>
      <c r="E30" s="1" t="s">
        <v>611</v>
      </c>
      <c r="F30" s="2" t="s">
        <v>627</v>
      </c>
    </row>
    <row r="31" spans="1:6" ht="15.75">
      <c r="A31" s="3" t="s">
        <v>61</v>
      </c>
      <c r="B31" s="1" t="s">
        <v>62</v>
      </c>
      <c r="C31" s="1" t="s">
        <v>595</v>
      </c>
      <c r="D31" s="1" t="s">
        <v>599</v>
      </c>
      <c r="E31" s="1" t="s">
        <v>611</v>
      </c>
      <c r="F31" s="2" t="s">
        <v>628</v>
      </c>
    </row>
    <row r="32" spans="1:6" ht="15.75">
      <c r="A32" s="3" t="s">
        <v>63</v>
      </c>
      <c r="B32" s="1" t="s">
        <v>64</v>
      </c>
      <c r="C32" s="1" t="s">
        <v>595</v>
      </c>
      <c r="D32" s="1" t="s">
        <v>599</v>
      </c>
      <c r="E32" s="1" t="s">
        <v>613</v>
      </c>
      <c r="F32" s="2" t="s">
        <v>629</v>
      </c>
    </row>
    <row r="33" spans="1:6">
      <c r="A33" s="3" t="s">
        <v>65</v>
      </c>
      <c r="B33" s="1" t="s">
        <v>66</v>
      </c>
      <c r="C33" s="1" t="s">
        <v>595</v>
      </c>
      <c r="D33" s="1" t="s">
        <v>599</v>
      </c>
      <c r="E33" s="1" t="s">
        <v>613</v>
      </c>
      <c r="F33" s="1" t="s">
        <v>622</v>
      </c>
    </row>
    <row r="34" spans="1:6">
      <c r="A34" s="3" t="s">
        <v>67</v>
      </c>
      <c r="B34" s="1" t="s">
        <v>68</v>
      </c>
      <c r="C34" s="1" t="s">
        <v>595</v>
      </c>
      <c r="D34" s="1" t="s">
        <v>599</v>
      </c>
      <c r="E34" s="1" t="s">
        <v>613</v>
      </c>
      <c r="F34" s="1" t="s">
        <v>623</v>
      </c>
    </row>
    <row r="35" spans="1:6">
      <c r="A35" s="3" t="s">
        <v>69</v>
      </c>
      <c r="B35" s="1" t="s">
        <v>70</v>
      </c>
      <c r="C35" s="1" t="s">
        <v>595</v>
      </c>
      <c r="D35" s="1" t="s">
        <v>599</v>
      </c>
      <c r="E35" s="1" t="s">
        <v>600</v>
      </c>
      <c r="F35" s="1" t="s">
        <v>630</v>
      </c>
    </row>
    <row r="36" spans="1:6">
      <c r="A36" s="3" t="s">
        <v>71</v>
      </c>
      <c r="B36" s="1" t="s">
        <v>72</v>
      </c>
      <c r="C36" s="1" t="s">
        <v>595</v>
      </c>
      <c r="D36" s="1" t="s">
        <v>599</v>
      </c>
      <c r="E36" s="1" t="s">
        <v>613</v>
      </c>
      <c r="F36" s="1" t="s">
        <v>624</v>
      </c>
    </row>
    <row r="37" spans="1:6">
      <c r="A37" s="3" t="s">
        <v>73</v>
      </c>
      <c r="B37" s="1" t="s">
        <v>74</v>
      </c>
      <c r="C37" s="1" t="s">
        <v>595</v>
      </c>
      <c r="D37" s="1" t="s">
        <v>599</v>
      </c>
      <c r="E37" s="1" t="s">
        <v>600</v>
      </c>
      <c r="F37" s="1" t="s">
        <v>631</v>
      </c>
    </row>
    <row r="38" spans="1:6">
      <c r="A38" s="3" t="s">
        <v>75</v>
      </c>
      <c r="B38" s="1" t="s">
        <v>76</v>
      </c>
      <c r="C38" s="1" t="s">
        <v>595</v>
      </c>
      <c r="D38" s="1" t="s">
        <v>599</v>
      </c>
      <c r="E38" s="1" t="s">
        <v>613</v>
      </c>
      <c r="F38" s="1" t="s">
        <v>632</v>
      </c>
    </row>
    <row r="39" spans="1:6">
      <c r="A39" s="3" t="s">
        <v>77</v>
      </c>
      <c r="B39" s="1" t="s">
        <v>78</v>
      </c>
      <c r="C39" s="1" t="s">
        <v>595</v>
      </c>
      <c r="D39" s="1" t="s">
        <v>599</v>
      </c>
      <c r="E39" s="1" t="s">
        <v>613</v>
      </c>
      <c r="F39" s="1" t="s">
        <v>633</v>
      </c>
    </row>
    <row r="40" spans="1:6">
      <c r="A40" s="3" t="s">
        <v>79</v>
      </c>
      <c r="B40" s="1" t="s">
        <v>80</v>
      </c>
      <c r="C40" s="1" t="s">
        <v>595</v>
      </c>
      <c r="D40" s="1" t="s">
        <v>599</v>
      </c>
      <c r="E40" s="1" t="s">
        <v>634</v>
      </c>
      <c r="F40" s="1" t="s">
        <v>635</v>
      </c>
    </row>
    <row r="41" spans="1:6">
      <c r="A41" s="3" t="s">
        <v>81</v>
      </c>
      <c r="B41" s="1" t="s">
        <v>82</v>
      </c>
      <c r="C41" s="1" t="s">
        <v>595</v>
      </c>
      <c r="D41" s="1" t="s">
        <v>636</v>
      </c>
      <c r="E41" s="1" t="s">
        <v>637</v>
      </c>
      <c r="F41" s="1" t="s">
        <v>638</v>
      </c>
    </row>
    <row r="42" spans="1:6">
      <c r="A42" s="3" t="s">
        <v>83</v>
      </c>
      <c r="B42" s="1" t="s">
        <v>84</v>
      </c>
      <c r="C42" s="1" t="s">
        <v>595</v>
      </c>
      <c r="D42" s="1" t="s">
        <v>596</v>
      </c>
      <c r="E42" s="1" t="s">
        <v>597</v>
      </c>
      <c r="F42" s="1" t="s">
        <v>602</v>
      </c>
    </row>
    <row r="43" spans="1:6">
      <c r="A43" s="3" t="s">
        <v>85</v>
      </c>
      <c r="B43" s="1" t="s">
        <v>86</v>
      </c>
      <c r="C43" s="1" t="s">
        <v>595</v>
      </c>
      <c r="D43" s="1" t="s">
        <v>596</v>
      </c>
      <c r="E43" s="1" t="s">
        <v>597</v>
      </c>
      <c r="F43" s="1" t="s">
        <v>639</v>
      </c>
    </row>
    <row r="44" spans="1:6">
      <c r="A44" s="3" t="s">
        <v>87</v>
      </c>
      <c r="B44" s="1" t="s">
        <v>88</v>
      </c>
      <c r="C44" s="1" t="s">
        <v>595</v>
      </c>
      <c r="D44" s="1" t="s">
        <v>596</v>
      </c>
      <c r="E44" s="1" t="s">
        <v>597</v>
      </c>
      <c r="F44" s="1" t="s">
        <v>603</v>
      </c>
    </row>
    <row r="45" spans="1:6">
      <c r="A45" s="3" t="s">
        <v>89</v>
      </c>
      <c r="B45" s="1" t="s">
        <v>90</v>
      </c>
      <c r="C45" s="1" t="s">
        <v>595</v>
      </c>
      <c r="D45" s="1" t="s">
        <v>596</v>
      </c>
      <c r="E45" s="1" t="s">
        <v>597</v>
      </c>
      <c r="F45" s="1" t="s">
        <v>604</v>
      </c>
    </row>
    <row r="46" spans="1:6">
      <c r="A46" s="3" t="s">
        <v>91</v>
      </c>
      <c r="B46" s="1" t="s">
        <v>92</v>
      </c>
      <c r="C46" s="1" t="s">
        <v>595</v>
      </c>
      <c r="D46" s="1" t="s">
        <v>596</v>
      </c>
      <c r="E46" s="1" t="s">
        <v>605</v>
      </c>
      <c r="F46" s="1" t="s">
        <v>606</v>
      </c>
    </row>
    <row r="47" spans="1:6">
      <c r="A47" s="3" t="s">
        <v>93</v>
      </c>
      <c r="B47" s="1" t="s">
        <v>94</v>
      </c>
      <c r="C47" s="1" t="s">
        <v>595</v>
      </c>
      <c r="D47" s="1" t="s">
        <v>596</v>
      </c>
      <c r="E47" s="1" t="s">
        <v>605</v>
      </c>
      <c r="F47" s="1" t="s">
        <v>607</v>
      </c>
    </row>
    <row r="48" spans="1:6">
      <c r="A48" s="3" t="s">
        <v>95</v>
      </c>
      <c r="B48" s="1" t="s">
        <v>96</v>
      </c>
      <c r="C48" s="1" t="s">
        <v>595</v>
      </c>
      <c r="D48" s="1" t="s">
        <v>596</v>
      </c>
      <c r="E48" s="1" t="s">
        <v>608</v>
      </c>
      <c r="F48" s="1" t="s">
        <v>609</v>
      </c>
    </row>
    <row r="49" spans="1:6">
      <c r="A49" s="3" t="s">
        <v>97</v>
      </c>
      <c r="B49" s="1" t="s">
        <v>98</v>
      </c>
      <c r="C49" s="1" t="s">
        <v>595</v>
      </c>
      <c r="D49" s="1" t="s">
        <v>596</v>
      </c>
      <c r="E49" s="1" t="s">
        <v>608</v>
      </c>
      <c r="F49" s="1" t="s">
        <v>610</v>
      </c>
    </row>
    <row r="50" spans="1:6">
      <c r="A50" s="3" t="s">
        <v>99</v>
      </c>
      <c r="B50" s="1" t="s">
        <v>100</v>
      </c>
      <c r="C50" s="1" t="s">
        <v>595</v>
      </c>
      <c r="D50" s="1" t="s">
        <v>596</v>
      </c>
      <c r="E50" s="1" t="s">
        <v>597</v>
      </c>
      <c r="F50" s="1" t="s">
        <v>604</v>
      </c>
    </row>
    <row r="51" spans="1:6" ht="15.75">
      <c r="A51" s="3" t="s">
        <v>101</v>
      </c>
      <c r="B51" s="1" t="s">
        <v>102</v>
      </c>
      <c r="C51" s="1" t="s">
        <v>595</v>
      </c>
      <c r="D51" s="1" t="s">
        <v>599</v>
      </c>
      <c r="E51" s="1" t="s">
        <v>611</v>
      </c>
      <c r="F51" s="2" t="s">
        <v>640</v>
      </c>
    </row>
    <row r="52" spans="1:6">
      <c r="A52" s="3" t="s">
        <v>103</v>
      </c>
      <c r="B52" s="1" t="s">
        <v>104</v>
      </c>
      <c r="C52" s="1" t="s">
        <v>595</v>
      </c>
      <c r="D52" s="1" t="s">
        <v>599</v>
      </c>
      <c r="E52" s="1" t="s">
        <v>613</v>
      </c>
      <c r="F52" s="1" t="s">
        <v>641</v>
      </c>
    </row>
    <row r="53" spans="1:6">
      <c r="A53" s="3" t="s">
        <v>105</v>
      </c>
      <c r="B53" s="1" t="s">
        <v>106</v>
      </c>
      <c r="C53" s="1" t="s">
        <v>595</v>
      </c>
      <c r="D53" s="1" t="s">
        <v>599</v>
      </c>
      <c r="E53" s="1" t="s">
        <v>613</v>
      </c>
      <c r="F53" s="1" t="s">
        <v>642</v>
      </c>
    </row>
    <row r="54" spans="1:6">
      <c r="A54" s="3" t="s">
        <v>107</v>
      </c>
      <c r="B54" s="1" t="s">
        <v>108</v>
      </c>
      <c r="C54" s="1" t="s">
        <v>595</v>
      </c>
      <c r="D54" s="1" t="s">
        <v>599</v>
      </c>
      <c r="E54" s="1" t="s">
        <v>613</v>
      </c>
      <c r="F54" s="1" t="s">
        <v>643</v>
      </c>
    </row>
    <row r="55" spans="1:6">
      <c r="A55" s="3" t="s">
        <v>109</v>
      </c>
      <c r="B55" s="1" t="s">
        <v>110</v>
      </c>
      <c r="C55" s="1" t="s">
        <v>595</v>
      </c>
      <c r="D55" s="1" t="s">
        <v>599</v>
      </c>
      <c r="E55" s="1" t="s">
        <v>634</v>
      </c>
      <c r="F55" s="1" t="s">
        <v>644</v>
      </c>
    </row>
    <row r="56" spans="1:6">
      <c r="A56" s="3" t="s">
        <v>111</v>
      </c>
      <c r="B56" s="1" t="s">
        <v>112</v>
      </c>
      <c r="C56" s="1" t="s">
        <v>595</v>
      </c>
      <c r="D56" s="1" t="s">
        <v>599</v>
      </c>
      <c r="E56" s="1" t="s">
        <v>608</v>
      </c>
      <c r="F56" s="1" t="s">
        <v>618</v>
      </c>
    </row>
    <row r="57" spans="1:6">
      <c r="A57" s="3" t="s">
        <v>113</v>
      </c>
      <c r="B57" s="1" t="s">
        <v>114</v>
      </c>
      <c r="C57" s="1" t="s">
        <v>595</v>
      </c>
      <c r="D57" s="1" t="s">
        <v>596</v>
      </c>
      <c r="E57" s="1" t="s">
        <v>597</v>
      </c>
      <c r="F57" s="1" t="s">
        <v>645</v>
      </c>
    </row>
    <row r="58" spans="1:6">
      <c r="A58" s="3" t="s">
        <v>115</v>
      </c>
      <c r="B58" s="1" t="s">
        <v>116</v>
      </c>
      <c r="C58" s="1" t="s">
        <v>595</v>
      </c>
      <c r="D58" s="1" t="s">
        <v>596</v>
      </c>
      <c r="E58" s="1" t="s">
        <v>597</v>
      </c>
      <c r="F58" s="1" t="s">
        <v>646</v>
      </c>
    </row>
    <row r="59" spans="1:6">
      <c r="A59" s="3" t="s">
        <v>117</v>
      </c>
      <c r="B59" s="1" t="s">
        <v>118</v>
      </c>
      <c r="C59" s="1" t="s">
        <v>595</v>
      </c>
      <c r="D59" s="1" t="s">
        <v>596</v>
      </c>
      <c r="E59" s="1" t="s">
        <v>597</v>
      </c>
      <c r="F59" s="1" t="s">
        <v>598</v>
      </c>
    </row>
    <row r="60" spans="1:6">
      <c r="A60" s="3" t="s">
        <v>119</v>
      </c>
      <c r="B60" s="1" t="s">
        <v>120</v>
      </c>
      <c r="C60" s="1" t="s">
        <v>595</v>
      </c>
      <c r="D60" s="1" t="s">
        <v>596</v>
      </c>
      <c r="E60" s="1" t="s">
        <v>597</v>
      </c>
      <c r="F60" s="1" t="s">
        <v>647</v>
      </c>
    </row>
    <row r="61" spans="1:6">
      <c r="A61" s="3" t="s">
        <v>121</v>
      </c>
      <c r="B61" s="1" t="s">
        <v>122</v>
      </c>
      <c r="C61" s="1" t="s">
        <v>595</v>
      </c>
      <c r="D61" s="1" t="s">
        <v>596</v>
      </c>
      <c r="E61" s="1" t="s">
        <v>597</v>
      </c>
      <c r="F61" s="1" t="s">
        <v>621</v>
      </c>
    </row>
    <row r="62" spans="1:6">
      <c r="A62" s="3" t="s">
        <v>123</v>
      </c>
      <c r="B62" s="1" t="s">
        <v>124</v>
      </c>
      <c r="C62" s="1" t="s">
        <v>595</v>
      </c>
      <c r="D62" s="1" t="s">
        <v>599</v>
      </c>
      <c r="E62" s="1" t="s">
        <v>648</v>
      </c>
      <c r="F62" s="1" t="s">
        <v>649</v>
      </c>
    </row>
    <row r="63" spans="1:6">
      <c r="A63" s="3" t="s">
        <v>125</v>
      </c>
      <c r="B63" s="1" t="s">
        <v>126</v>
      </c>
      <c r="C63" s="1" t="s">
        <v>595</v>
      </c>
      <c r="D63" s="1" t="s">
        <v>599</v>
      </c>
      <c r="E63" s="1" t="s">
        <v>648</v>
      </c>
      <c r="F63" s="1" t="s">
        <v>649</v>
      </c>
    </row>
    <row r="64" spans="1:6">
      <c r="A64" s="3" t="s">
        <v>127</v>
      </c>
      <c r="B64" s="1" t="s">
        <v>128</v>
      </c>
      <c r="C64" s="1" t="s">
        <v>595</v>
      </c>
      <c r="D64" s="1" t="s">
        <v>599</v>
      </c>
      <c r="E64" s="1" t="s">
        <v>648</v>
      </c>
      <c r="F64" s="1" t="s">
        <v>649</v>
      </c>
    </row>
    <row r="65" spans="1:6">
      <c r="A65" s="3" t="s">
        <v>129</v>
      </c>
      <c r="B65" s="1" t="s">
        <v>130</v>
      </c>
      <c r="C65" s="1" t="s">
        <v>595</v>
      </c>
      <c r="D65" s="1" t="s">
        <v>596</v>
      </c>
      <c r="E65" s="1" t="s">
        <v>597</v>
      </c>
      <c r="F65" s="1" t="s">
        <v>645</v>
      </c>
    </row>
    <row r="66" spans="1:6">
      <c r="A66" s="3" t="s">
        <v>131</v>
      </c>
      <c r="B66" s="1" t="s">
        <v>132</v>
      </c>
      <c r="C66" s="1" t="s">
        <v>595</v>
      </c>
      <c r="D66" s="1" t="s">
        <v>596</v>
      </c>
      <c r="E66" s="1" t="s">
        <v>597</v>
      </c>
      <c r="F66" s="1" t="s">
        <v>646</v>
      </c>
    </row>
    <row r="67" spans="1:6">
      <c r="A67" s="3" t="s">
        <v>133</v>
      </c>
      <c r="B67" s="1" t="s">
        <v>134</v>
      </c>
      <c r="C67" s="1" t="s">
        <v>595</v>
      </c>
      <c r="D67" s="1" t="s">
        <v>596</v>
      </c>
      <c r="E67" s="1" t="s">
        <v>597</v>
      </c>
      <c r="F67" s="1" t="s">
        <v>598</v>
      </c>
    </row>
    <row r="68" spans="1:6">
      <c r="A68" s="3" t="s">
        <v>135</v>
      </c>
      <c r="B68" s="1" t="s">
        <v>136</v>
      </c>
      <c r="C68" s="1" t="s">
        <v>595</v>
      </c>
      <c r="D68" s="1" t="s">
        <v>596</v>
      </c>
      <c r="E68" s="1" t="s">
        <v>597</v>
      </c>
      <c r="F68" s="1" t="s">
        <v>647</v>
      </c>
    </row>
    <row r="69" spans="1:6">
      <c r="A69" s="3" t="s">
        <v>137</v>
      </c>
      <c r="B69" s="1" t="s">
        <v>138</v>
      </c>
      <c r="C69" s="1" t="s">
        <v>595</v>
      </c>
      <c r="D69" s="1" t="s">
        <v>596</v>
      </c>
      <c r="E69" s="1" t="s">
        <v>597</v>
      </c>
      <c r="F69" s="1" t="s">
        <v>621</v>
      </c>
    </row>
    <row r="70" spans="1:6">
      <c r="A70" s="3" t="s">
        <v>139</v>
      </c>
      <c r="B70" s="1" t="s">
        <v>140</v>
      </c>
      <c r="C70" s="1" t="s">
        <v>595</v>
      </c>
      <c r="D70" s="1" t="s">
        <v>596</v>
      </c>
      <c r="E70" s="1" t="s">
        <v>597</v>
      </c>
      <c r="F70" s="1" t="s">
        <v>602</v>
      </c>
    </row>
    <row r="71" spans="1:6">
      <c r="A71" s="3" t="s">
        <v>141</v>
      </c>
      <c r="B71" s="1" t="s">
        <v>142</v>
      </c>
      <c r="C71" s="1" t="s">
        <v>595</v>
      </c>
      <c r="D71" s="1" t="s">
        <v>596</v>
      </c>
      <c r="E71" s="1" t="s">
        <v>597</v>
      </c>
      <c r="F71" s="1" t="s">
        <v>639</v>
      </c>
    </row>
    <row r="72" spans="1:6">
      <c r="A72" s="3" t="s">
        <v>143</v>
      </c>
      <c r="B72" s="1" t="s">
        <v>144</v>
      </c>
      <c r="C72" s="1" t="s">
        <v>595</v>
      </c>
      <c r="D72" s="1" t="s">
        <v>596</v>
      </c>
      <c r="E72" s="1" t="s">
        <v>597</v>
      </c>
      <c r="F72" s="1" t="s">
        <v>603</v>
      </c>
    </row>
    <row r="73" spans="1:6">
      <c r="A73" s="3" t="s">
        <v>145</v>
      </c>
      <c r="B73" s="1" t="s">
        <v>146</v>
      </c>
      <c r="C73" s="1" t="s">
        <v>595</v>
      </c>
      <c r="D73" s="1" t="s">
        <v>596</v>
      </c>
      <c r="E73" s="1" t="s">
        <v>597</v>
      </c>
      <c r="F73" s="1" t="s">
        <v>604</v>
      </c>
    </row>
    <row r="74" spans="1:6">
      <c r="A74" s="3" t="s">
        <v>147</v>
      </c>
      <c r="B74" s="1" t="s">
        <v>148</v>
      </c>
      <c r="C74" s="1" t="s">
        <v>595</v>
      </c>
      <c r="D74" s="1" t="s">
        <v>596</v>
      </c>
      <c r="E74" s="1" t="s">
        <v>605</v>
      </c>
      <c r="F74" s="1" t="s">
        <v>606</v>
      </c>
    </row>
    <row r="75" spans="1:6">
      <c r="A75" s="3" t="s">
        <v>149</v>
      </c>
      <c r="B75" s="1" t="s">
        <v>150</v>
      </c>
      <c r="C75" s="1" t="s">
        <v>595</v>
      </c>
      <c r="D75" s="1" t="s">
        <v>596</v>
      </c>
      <c r="E75" s="1" t="s">
        <v>605</v>
      </c>
      <c r="F75" s="1" t="s">
        <v>607</v>
      </c>
    </row>
    <row r="76" spans="1:6">
      <c r="A76" s="3" t="s">
        <v>151</v>
      </c>
      <c r="B76" s="1" t="s">
        <v>152</v>
      </c>
      <c r="C76" s="1" t="s">
        <v>595</v>
      </c>
      <c r="D76" s="1" t="s">
        <v>596</v>
      </c>
      <c r="E76" s="1" t="s">
        <v>608</v>
      </c>
      <c r="F76" s="1" t="s">
        <v>609</v>
      </c>
    </row>
    <row r="77" spans="1:6">
      <c r="A77" s="3" t="s">
        <v>153</v>
      </c>
      <c r="B77" s="1" t="s">
        <v>154</v>
      </c>
      <c r="C77" s="1" t="s">
        <v>595</v>
      </c>
      <c r="D77" s="1" t="s">
        <v>596</v>
      </c>
      <c r="E77" s="1" t="s">
        <v>608</v>
      </c>
      <c r="F77" s="1" t="s">
        <v>610</v>
      </c>
    </row>
    <row r="78" spans="1:6">
      <c r="A78" s="3" t="s">
        <v>155</v>
      </c>
      <c r="B78" s="1" t="s">
        <v>156</v>
      </c>
      <c r="C78" s="1" t="s">
        <v>595</v>
      </c>
      <c r="D78" s="1" t="s">
        <v>596</v>
      </c>
      <c r="E78" s="1" t="s">
        <v>597</v>
      </c>
      <c r="F78" s="1" t="s">
        <v>604</v>
      </c>
    </row>
    <row r="79" spans="1:6">
      <c r="A79" s="3" t="s">
        <v>157</v>
      </c>
      <c r="B79" s="1" t="s">
        <v>158</v>
      </c>
      <c r="C79" s="1" t="s">
        <v>595</v>
      </c>
      <c r="D79" s="1" t="s">
        <v>599</v>
      </c>
      <c r="E79" s="1" t="s">
        <v>613</v>
      </c>
      <c r="F79" s="1" t="s">
        <v>642</v>
      </c>
    </row>
    <row r="80" spans="1:6">
      <c r="A80" s="3" t="s">
        <v>159</v>
      </c>
      <c r="B80" s="1" t="s">
        <v>160</v>
      </c>
      <c r="C80" s="1" t="s">
        <v>595</v>
      </c>
      <c r="D80" s="1" t="s">
        <v>599</v>
      </c>
      <c r="E80" s="1" t="s">
        <v>613</v>
      </c>
      <c r="F80" s="1" t="s">
        <v>643</v>
      </c>
    </row>
    <row r="81" spans="1:6">
      <c r="A81" s="3" t="s">
        <v>161</v>
      </c>
      <c r="B81" s="1" t="s">
        <v>162</v>
      </c>
      <c r="C81" s="1" t="s">
        <v>595</v>
      </c>
      <c r="D81" s="1" t="s">
        <v>599</v>
      </c>
      <c r="E81" s="1" t="s">
        <v>648</v>
      </c>
      <c r="F81" s="1" t="s">
        <v>649</v>
      </c>
    </row>
    <row r="82" spans="1:6">
      <c r="A82" s="3" t="s">
        <v>163</v>
      </c>
      <c r="B82" s="1" t="s">
        <v>164</v>
      </c>
      <c r="C82" s="1" t="s">
        <v>595</v>
      </c>
      <c r="D82" s="1" t="s">
        <v>599</v>
      </c>
      <c r="E82" s="1" t="s">
        <v>634</v>
      </c>
      <c r="F82" s="1" t="s">
        <v>644</v>
      </c>
    </row>
    <row r="83" spans="1:6">
      <c r="A83" s="3" t="s">
        <v>165</v>
      </c>
      <c r="B83" s="1" t="s">
        <v>166</v>
      </c>
      <c r="C83" s="1" t="s">
        <v>595</v>
      </c>
      <c r="D83" s="1" t="s">
        <v>599</v>
      </c>
      <c r="E83" s="1" t="s">
        <v>608</v>
      </c>
      <c r="F83" s="1" t="s">
        <v>618</v>
      </c>
    </row>
    <row r="84" spans="1:6">
      <c r="A84" s="3" t="s">
        <v>167</v>
      </c>
      <c r="B84" s="1" t="s">
        <v>168</v>
      </c>
      <c r="C84" s="1" t="s">
        <v>595</v>
      </c>
      <c r="D84" s="1" t="s">
        <v>596</v>
      </c>
      <c r="E84" s="1" t="s">
        <v>608</v>
      </c>
      <c r="F84" s="1" t="s">
        <v>650</v>
      </c>
    </row>
    <row r="85" spans="1:6">
      <c r="A85" s="3" t="s">
        <v>169</v>
      </c>
      <c r="B85" s="1" t="s">
        <v>170</v>
      </c>
      <c r="C85" s="1" t="s">
        <v>595</v>
      </c>
      <c r="D85" s="1" t="s">
        <v>596</v>
      </c>
      <c r="E85" s="1" t="s">
        <v>597</v>
      </c>
      <c r="F85" s="1" t="s">
        <v>651</v>
      </c>
    </row>
    <row r="86" spans="1:6">
      <c r="A86" s="3" t="s">
        <v>171</v>
      </c>
      <c r="B86" s="1" t="s">
        <v>76</v>
      </c>
      <c r="C86" s="1" t="s">
        <v>595</v>
      </c>
      <c r="D86" s="1" t="s">
        <v>599</v>
      </c>
      <c r="E86" s="1" t="s">
        <v>613</v>
      </c>
      <c r="F86" s="1" t="s">
        <v>632</v>
      </c>
    </row>
    <row r="87" spans="1:6">
      <c r="A87" s="3" t="s">
        <v>172</v>
      </c>
      <c r="B87" s="1" t="s">
        <v>173</v>
      </c>
      <c r="C87" s="1" t="s">
        <v>595</v>
      </c>
      <c r="D87" s="1" t="s">
        <v>636</v>
      </c>
      <c r="E87" s="1" t="s">
        <v>637</v>
      </c>
      <c r="F87" s="1" t="s">
        <v>638</v>
      </c>
    </row>
    <row r="88" spans="1:6">
      <c r="A88" s="3" t="s">
        <v>174</v>
      </c>
      <c r="B88" s="1" t="s">
        <v>175</v>
      </c>
      <c r="C88" s="1" t="s">
        <v>595</v>
      </c>
      <c r="D88" s="1" t="s">
        <v>636</v>
      </c>
      <c r="E88" s="1" t="s">
        <v>637</v>
      </c>
      <c r="F88" s="1" t="s">
        <v>638</v>
      </c>
    </row>
    <row r="89" spans="1:6">
      <c r="A89" s="3" t="s">
        <v>176</v>
      </c>
      <c r="B89" s="1" t="s">
        <v>177</v>
      </c>
      <c r="C89" s="1" t="s">
        <v>595</v>
      </c>
      <c r="D89" s="1" t="s">
        <v>596</v>
      </c>
      <c r="E89" s="1" t="s">
        <v>605</v>
      </c>
      <c r="F89" s="1" t="s">
        <v>652</v>
      </c>
    </row>
    <row r="90" spans="1:6">
      <c r="A90" s="3" t="s">
        <v>178</v>
      </c>
      <c r="B90" s="1" t="s">
        <v>179</v>
      </c>
      <c r="C90" s="1" t="s">
        <v>595</v>
      </c>
      <c r="D90" s="1" t="s">
        <v>596</v>
      </c>
      <c r="E90" s="1" t="s">
        <v>608</v>
      </c>
      <c r="F90" s="1" t="s">
        <v>650</v>
      </c>
    </row>
    <row r="91" spans="1:6">
      <c r="A91" s="3" t="s">
        <v>180</v>
      </c>
      <c r="B91" s="1" t="s">
        <v>181</v>
      </c>
      <c r="C91" s="1" t="s">
        <v>595</v>
      </c>
      <c r="D91" s="1" t="s">
        <v>596</v>
      </c>
      <c r="E91" s="1" t="s">
        <v>597</v>
      </c>
      <c r="F91" s="1" t="s">
        <v>651</v>
      </c>
    </row>
    <row r="92" spans="1:6">
      <c r="A92" s="3" t="s">
        <v>182</v>
      </c>
      <c r="B92" s="1" t="s">
        <v>183</v>
      </c>
      <c r="C92" s="1" t="s">
        <v>653</v>
      </c>
      <c r="D92" s="1" t="s">
        <v>654</v>
      </c>
      <c r="E92" s="1" t="s">
        <v>638</v>
      </c>
      <c r="F92" s="1" t="s">
        <v>655</v>
      </c>
    </row>
    <row r="93" spans="1:6">
      <c r="A93" s="3" t="s">
        <v>184</v>
      </c>
      <c r="B93" s="1" t="s">
        <v>185</v>
      </c>
      <c r="C93" s="1" t="s">
        <v>595</v>
      </c>
      <c r="D93" s="1" t="s">
        <v>656</v>
      </c>
      <c r="E93" s="1" t="s">
        <v>657</v>
      </c>
      <c r="F93" s="1" t="s">
        <v>638</v>
      </c>
    </row>
    <row r="94" spans="1:6">
      <c r="A94" s="3" t="s">
        <v>186</v>
      </c>
      <c r="B94" s="1" t="s">
        <v>187</v>
      </c>
      <c r="C94" s="1" t="s">
        <v>653</v>
      </c>
      <c r="D94" s="1" t="s">
        <v>654</v>
      </c>
      <c r="E94" s="1" t="s">
        <v>638</v>
      </c>
      <c r="F94" s="1" t="s">
        <v>658</v>
      </c>
    </row>
    <row r="95" spans="1:6">
      <c r="A95" s="3" t="s">
        <v>188</v>
      </c>
      <c r="B95" s="1" t="s">
        <v>189</v>
      </c>
      <c r="C95" s="1" t="s">
        <v>653</v>
      </c>
      <c r="D95" s="1" t="s">
        <v>659</v>
      </c>
      <c r="E95" s="1" t="s">
        <v>638</v>
      </c>
      <c r="F95" s="1" t="s">
        <v>658</v>
      </c>
    </row>
    <row r="96" spans="1:6">
      <c r="A96" s="3" t="s">
        <v>190</v>
      </c>
      <c r="B96" s="1" t="s">
        <v>191</v>
      </c>
      <c r="C96" s="1" t="s">
        <v>595</v>
      </c>
      <c r="D96" s="1" t="s">
        <v>596</v>
      </c>
      <c r="E96" s="1" t="s">
        <v>597</v>
      </c>
      <c r="F96" s="1" t="s">
        <v>604</v>
      </c>
    </row>
    <row r="97" spans="1:6">
      <c r="A97" s="3" t="s">
        <v>192</v>
      </c>
      <c r="B97" s="1" t="s">
        <v>193</v>
      </c>
      <c r="C97" s="1" t="s">
        <v>595</v>
      </c>
      <c r="D97" s="1" t="s">
        <v>599</v>
      </c>
      <c r="E97" s="1" t="s">
        <v>613</v>
      </c>
      <c r="F97" s="1" t="s">
        <v>660</v>
      </c>
    </row>
    <row r="98" spans="1:6">
      <c r="A98" s="3" t="s">
        <v>194</v>
      </c>
      <c r="B98" s="1" t="s">
        <v>195</v>
      </c>
      <c r="C98" s="1" t="s">
        <v>595</v>
      </c>
      <c r="D98" s="1" t="s">
        <v>599</v>
      </c>
      <c r="E98" s="1" t="s">
        <v>613</v>
      </c>
      <c r="F98" s="1" t="s">
        <v>661</v>
      </c>
    </row>
    <row r="99" spans="1:6">
      <c r="A99" s="3" t="s">
        <v>196</v>
      </c>
      <c r="B99" s="1" t="s">
        <v>197</v>
      </c>
      <c r="C99" s="1" t="s">
        <v>595</v>
      </c>
      <c r="D99" s="1" t="s">
        <v>599</v>
      </c>
      <c r="E99" s="1" t="s">
        <v>613</v>
      </c>
      <c r="F99" s="1" t="s">
        <v>661</v>
      </c>
    </row>
    <row r="100" spans="1:6">
      <c r="A100" s="3" t="s">
        <v>198</v>
      </c>
      <c r="B100" s="1" t="s">
        <v>199</v>
      </c>
      <c r="C100" s="1" t="s">
        <v>595</v>
      </c>
      <c r="D100" s="1" t="s">
        <v>599</v>
      </c>
      <c r="E100" s="1" t="s">
        <v>613</v>
      </c>
      <c r="F100" s="1" t="s">
        <v>662</v>
      </c>
    </row>
    <row r="101" spans="1:6">
      <c r="A101" s="3" t="s">
        <v>200</v>
      </c>
      <c r="B101" s="1" t="s">
        <v>201</v>
      </c>
      <c r="C101" s="1" t="s">
        <v>653</v>
      </c>
      <c r="D101" s="1" t="s">
        <v>663</v>
      </c>
      <c r="E101" s="1" t="s">
        <v>638</v>
      </c>
      <c r="F101" s="1" t="s">
        <v>638</v>
      </c>
    </row>
    <row r="102" spans="1:6">
      <c r="A102" s="3" t="s">
        <v>202</v>
      </c>
      <c r="B102" s="1" t="s">
        <v>203</v>
      </c>
      <c r="C102" s="1" t="s">
        <v>653</v>
      </c>
      <c r="D102" s="1" t="s">
        <v>664</v>
      </c>
      <c r="E102" s="1" t="s">
        <v>638</v>
      </c>
      <c r="F102" s="1" t="s">
        <v>665</v>
      </c>
    </row>
    <row r="103" spans="1:6">
      <c r="A103" s="3" t="s">
        <v>204</v>
      </c>
      <c r="B103" s="1" t="s">
        <v>205</v>
      </c>
      <c r="C103" s="1" t="s">
        <v>595</v>
      </c>
      <c r="D103" s="1" t="s">
        <v>596</v>
      </c>
      <c r="E103" s="1" t="s">
        <v>597</v>
      </c>
      <c r="F103" s="1" t="s">
        <v>666</v>
      </c>
    </row>
    <row r="104" spans="1:6" ht="15.75">
      <c r="A104" s="3" t="s">
        <v>206</v>
      </c>
      <c r="B104" s="1" t="s">
        <v>207</v>
      </c>
      <c r="C104" s="1" t="s">
        <v>595</v>
      </c>
      <c r="D104" s="1" t="s">
        <v>599</v>
      </c>
      <c r="E104" s="1" t="s">
        <v>611</v>
      </c>
      <c r="F104" s="2" t="s">
        <v>667</v>
      </c>
    </row>
    <row r="105" spans="1:6">
      <c r="A105" s="3" t="s">
        <v>208</v>
      </c>
      <c r="B105" s="1" t="s">
        <v>209</v>
      </c>
      <c r="C105" s="1" t="s">
        <v>653</v>
      </c>
      <c r="D105" s="1" t="s">
        <v>659</v>
      </c>
      <c r="E105" s="1" t="s">
        <v>638</v>
      </c>
      <c r="F105" s="1" t="s">
        <v>658</v>
      </c>
    </row>
    <row r="106" spans="1:6">
      <c r="A106" s="3" t="s">
        <v>210</v>
      </c>
      <c r="B106" s="1" t="s">
        <v>211</v>
      </c>
      <c r="C106" s="1" t="s">
        <v>595</v>
      </c>
      <c r="D106" s="1" t="s">
        <v>656</v>
      </c>
      <c r="E106" s="1" t="s">
        <v>668</v>
      </c>
      <c r="F106" s="1" t="s">
        <v>638</v>
      </c>
    </row>
    <row r="107" spans="1:6">
      <c r="A107" s="3" t="s">
        <v>212</v>
      </c>
      <c r="B107" s="1" t="s">
        <v>213</v>
      </c>
      <c r="C107" s="3" t="s">
        <v>595</v>
      </c>
      <c r="D107" s="3" t="s">
        <v>596</v>
      </c>
      <c r="E107" s="4" t="s">
        <v>597</v>
      </c>
      <c r="F107" t="s">
        <v>669</v>
      </c>
    </row>
    <row r="108" spans="1:6">
      <c r="A108" s="20" t="s">
        <v>214</v>
      </c>
      <c r="B108" s="13" t="s">
        <v>215</v>
      </c>
      <c r="C108" s="3" t="s">
        <v>595</v>
      </c>
      <c r="D108" s="3" t="s">
        <v>596</v>
      </c>
      <c r="E108" s="4" t="s">
        <v>597</v>
      </c>
      <c r="F108" t="s">
        <v>670</v>
      </c>
    </row>
    <row r="109" spans="1:6">
      <c r="A109" s="3" t="s">
        <v>216</v>
      </c>
      <c r="B109" s="1" t="s">
        <v>217</v>
      </c>
      <c r="C109" s="1" t="s">
        <v>653</v>
      </c>
      <c r="D109" s="1" t="s">
        <v>671</v>
      </c>
      <c r="E109" s="1" t="s">
        <v>638</v>
      </c>
      <c r="F109" s="1" t="s">
        <v>638</v>
      </c>
    </row>
    <row r="110" spans="1:6">
      <c r="A110" s="25" t="s">
        <v>218</v>
      </c>
      <c r="B110" s="29" t="s">
        <v>219</v>
      </c>
      <c r="C110" s="1" t="s">
        <v>595</v>
      </c>
      <c r="D110" s="1" t="s">
        <v>599</v>
      </c>
      <c r="E110" s="1" t="s">
        <v>600</v>
      </c>
      <c r="F110" s="1" t="s">
        <v>631</v>
      </c>
    </row>
    <row r="111" spans="1:6">
      <c r="A111" s="20" t="s">
        <v>220</v>
      </c>
      <c r="B111" s="13" t="s">
        <v>221</v>
      </c>
      <c r="C111" s="3" t="s">
        <v>595</v>
      </c>
      <c r="D111" s="3" t="s">
        <v>596</v>
      </c>
      <c r="E111" s="4" t="s">
        <v>597</v>
      </c>
      <c r="F111" t="s">
        <v>598</v>
      </c>
    </row>
    <row r="112" spans="1:6">
      <c r="A112" s="3" t="s">
        <v>222</v>
      </c>
      <c r="B112" s="1" t="s">
        <v>223</v>
      </c>
      <c r="C112" s="1" t="s">
        <v>595</v>
      </c>
      <c r="D112" s="1" t="s">
        <v>599</v>
      </c>
      <c r="E112" s="1" t="s">
        <v>613</v>
      </c>
      <c r="F112" s="1" t="s">
        <v>672</v>
      </c>
    </row>
    <row r="113" spans="1:6">
      <c r="A113" s="20" t="s">
        <v>224</v>
      </c>
      <c r="B113" s="13" t="s">
        <v>225</v>
      </c>
      <c r="C113" s="3" t="s">
        <v>595</v>
      </c>
      <c r="D113" s="3" t="s">
        <v>599</v>
      </c>
      <c r="E113" s="3" t="s">
        <v>616</v>
      </c>
      <c r="F113" t="s">
        <v>617</v>
      </c>
    </row>
    <row r="114" spans="1:6">
      <c r="A114" s="3" t="s">
        <v>226</v>
      </c>
      <c r="B114" s="1" t="s">
        <v>227</v>
      </c>
      <c r="C114" s="1" t="s">
        <v>653</v>
      </c>
      <c r="D114" s="1" t="s">
        <v>654</v>
      </c>
      <c r="E114" s="1" t="s">
        <v>638</v>
      </c>
      <c r="F114" s="1" t="s">
        <v>638</v>
      </c>
    </row>
    <row r="115" spans="1:6">
      <c r="A115" s="3" t="s">
        <v>228</v>
      </c>
      <c r="B115" s="1" t="s">
        <v>229</v>
      </c>
      <c r="C115" s="1" t="s">
        <v>653</v>
      </c>
      <c r="D115" s="1" t="s">
        <v>663</v>
      </c>
      <c r="E115" s="1" t="s">
        <v>638</v>
      </c>
      <c r="F115" s="1" t="s">
        <v>638</v>
      </c>
    </row>
    <row r="116" spans="1:6">
      <c r="A116" s="3" t="s">
        <v>230</v>
      </c>
      <c r="B116" s="1" t="s">
        <v>231</v>
      </c>
      <c r="C116" s="1" t="s">
        <v>653</v>
      </c>
      <c r="D116" s="1" t="s">
        <v>663</v>
      </c>
      <c r="E116" s="1" t="s">
        <v>638</v>
      </c>
      <c r="F116" s="1" t="s">
        <v>638</v>
      </c>
    </row>
    <row r="117" spans="1:6">
      <c r="A117" s="3" t="s">
        <v>232</v>
      </c>
      <c r="B117" s="1" t="s">
        <v>233</v>
      </c>
      <c r="C117" s="1" t="s">
        <v>653</v>
      </c>
      <c r="D117" s="1" t="s">
        <v>673</v>
      </c>
      <c r="E117" s="1" t="s">
        <v>674</v>
      </c>
      <c r="F117" s="1" t="s">
        <v>638</v>
      </c>
    </row>
    <row r="118" spans="1:6">
      <c r="A118" s="3" t="s">
        <v>234</v>
      </c>
      <c r="B118" s="1" t="s">
        <v>675</v>
      </c>
      <c r="C118" s="1" t="s">
        <v>595</v>
      </c>
      <c r="D118" s="1" t="s">
        <v>596</v>
      </c>
      <c r="E118" s="1" t="s">
        <v>608</v>
      </c>
      <c r="F118" s="1" t="s">
        <v>650</v>
      </c>
    </row>
    <row r="119" spans="1:6">
      <c r="A119" s="3" t="s">
        <v>236</v>
      </c>
      <c r="B119" s="1" t="s">
        <v>676</v>
      </c>
      <c r="C119" s="1" t="s">
        <v>595</v>
      </c>
      <c r="D119" s="1" t="s">
        <v>596</v>
      </c>
      <c r="E119" s="1" t="s">
        <v>608</v>
      </c>
      <c r="F119" s="1" t="s">
        <v>650</v>
      </c>
    </row>
    <row r="120" spans="1:6">
      <c r="A120" s="3" t="s">
        <v>238</v>
      </c>
      <c r="B120" s="1" t="s">
        <v>677</v>
      </c>
      <c r="C120" s="1" t="s">
        <v>595</v>
      </c>
      <c r="D120" s="1" t="s">
        <v>596</v>
      </c>
      <c r="E120" s="1" t="s">
        <v>608</v>
      </c>
      <c r="F120" s="1" t="s">
        <v>650</v>
      </c>
    </row>
    <row r="121" spans="1:6">
      <c r="A121" s="3" t="s">
        <v>240</v>
      </c>
      <c r="B121" s="1" t="s">
        <v>678</v>
      </c>
      <c r="C121" s="1" t="s">
        <v>595</v>
      </c>
      <c r="D121" s="1" t="s">
        <v>596</v>
      </c>
      <c r="E121" s="1" t="s">
        <v>608</v>
      </c>
      <c r="F121" s="1" t="s">
        <v>650</v>
      </c>
    </row>
    <row r="122" spans="1:6">
      <c r="A122" s="25" t="s">
        <v>242</v>
      </c>
      <c r="B122" s="29" t="s">
        <v>243</v>
      </c>
      <c r="C122" s="1" t="s">
        <v>595</v>
      </c>
      <c r="D122" t="s">
        <v>599</v>
      </c>
      <c r="E122" s="1" t="s">
        <v>638</v>
      </c>
      <c r="F122" s="1" t="s">
        <v>638</v>
      </c>
    </row>
    <row r="123" spans="1:6" ht="15.75">
      <c r="A123" s="3" t="s">
        <v>244</v>
      </c>
      <c r="B123" s="1" t="s">
        <v>245</v>
      </c>
      <c r="C123" s="1" t="s">
        <v>595</v>
      </c>
      <c r="D123" s="1" t="s">
        <v>599</v>
      </c>
      <c r="E123" s="1" t="s">
        <v>611</v>
      </c>
      <c r="F123" s="2" t="s">
        <v>612</v>
      </c>
    </row>
    <row r="124" spans="1:6">
      <c r="A124" s="25" t="s">
        <v>246</v>
      </c>
      <c r="B124" s="29" t="s">
        <v>247</v>
      </c>
      <c r="C124" s="1" t="s">
        <v>595</v>
      </c>
      <c r="D124" s="1" t="s">
        <v>638</v>
      </c>
      <c r="E124" s="1" t="s">
        <v>638</v>
      </c>
      <c r="F124" s="1" t="s">
        <v>638</v>
      </c>
    </row>
    <row r="125" spans="1:6">
      <c r="A125" s="24" t="s">
        <v>248</v>
      </c>
      <c r="B125" s="27" t="s">
        <v>249</v>
      </c>
      <c r="C125" s="1" t="s">
        <v>595</v>
      </c>
      <c r="D125" s="1" t="s">
        <v>638</v>
      </c>
      <c r="E125" s="1" t="s">
        <v>638</v>
      </c>
      <c r="F125" s="1" t="s">
        <v>638</v>
      </c>
    </row>
    <row r="126" spans="1:6">
      <c r="A126" s="25" t="s">
        <v>250</v>
      </c>
      <c r="B126" s="29" t="s">
        <v>251</v>
      </c>
      <c r="C126" s="1" t="s">
        <v>595</v>
      </c>
      <c r="D126" s="1" t="s">
        <v>638</v>
      </c>
      <c r="E126" s="1" t="s">
        <v>638</v>
      </c>
      <c r="F126" s="1" t="s">
        <v>638</v>
      </c>
    </row>
    <row r="127" spans="1:6">
      <c r="A127" s="3" t="s">
        <v>252</v>
      </c>
      <c r="B127" s="1" t="s">
        <v>253</v>
      </c>
      <c r="C127" s="1" t="s">
        <v>595</v>
      </c>
      <c r="D127" s="1" t="s">
        <v>596</v>
      </c>
      <c r="E127" s="1" t="s">
        <v>608</v>
      </c>
      <c r="F127" s="1" t="s">
        <v>609</v>
      </c>
    </row>
    <row r="128" spans="1:6">
      <c r="A128" s="25" t="s">
        <v>254</v>
      </c>
      <c r="B128" s="29" t="s">
        <v>255</v>
      </c>
      <c r="C128" s="1" t="s">
        <v>595</v>
      </c>
      <c r="D128" s="1" t="s">
        <v>638</v>
      </c>
      <c r="E128" s="1" t="s">
        <v>638</v>
      </c>
      <c r="F128" s="1" t="s">
        <v>638</v>
      </c>
    </row>
    <row r="129" spans="1:6">
      <c r="A129" s="3" t="s">
        <v>256</v>
      </c>
      <c r="B129" s="1" t="s">
        <v>257</v>
      </c>
      <c r="C129" s="1" t="s">
        <v>595</v>
      </c>
      <c r="D129" s="1" t="s">
        <v>599</v>
      </c>
      <c r="E129" s="1" t="s">
        <v>648</v>
      </c>
      <c r="F129" s="1" t="s">
        <v>649</v>
      </c>
    </row>
    <row r="130" spans="1:6">
      <c r="A130" s="3" t="s">
        <v>258</v>
      </c>
      <c r="B130" s="1" t="s">
        <v>259</v>
      </c>
      <c r="C130" s="1" t="s">
        <v>595</v>
      </c>
      <c r="D130" s="1" t="s">
        <v>596</v>
      </c>
      <c r="E130" s="1" t="s">
        <v>608</v>
      </c>
      <c r="F130" s="1" t="s">
        <v>610</v>
      </c>
    </row>
    <row r="131" spans="1:6">
      <c r="A131" s="24" t="s">
        <v>260</v>
      </c>
      <c r="B131" s="27" t="s">
        <v>261</v>
      </c>
      <c r="C131" s="1" t="s">
        <v>595</v>
      </c>
      <c r="D131" s="1" t="s">
        <v>638</v>
      </c>
      <c r="E131" s="1" t="s">
        <v>638</v>
      </c>
      <c r="F131" s="1" t="s">
        <v>638</v>
      </c>
    </row>
    <row r="132" spans="1:6">
      <c r="A132" s="3" t="s">
        <v>262</v>
      </c>
      <c r="B132" s="1" t="s">
        <v>263</v>
      </c>
      <c r="C132" s="1" t="s">
        <v>653</v>
      </c>
      <c r="D132" s="1" t="s">
        <v>654</v>
      </c>
      <c r="E132" s="1" t="s">
        <v>638</v>
      </c>
      <c r="F132" s="1" t="s">
        <v>638</v>
      </c>
    </row>
    <row r="133" spans="1:6">
      <c r="A133" s="3" t="s">
        <v>264</v>
      </c>
      <c r="B133" s="1" t="s">
        <v>265</v>
      </c>
      <c r="C133" s="1" t="s">
        <v>653</v>
      </c>
      <c r="D133" s="1" t="s">
        <v>663</v>
      </c>
      <c r="E133" s="1" t="s">
        <v>638</v>
      </c>
      <c r="F133" s="1" t="s">
        <v>638</v>
      </c>
    </row>
    <row r="134" spans="1:6">
      <c r="A134" s="3" t="s">
        <v>266</v>
      </c>
      <c r="B134" s="1" t="s">
        <v>267</v>
      </c>
      <c r="C134" s="1" t="s">
        <v>595</v>
      </c>
      <c r="D134" s="1" t="s">
        <v>596</v>
      </c>
      <c r="E134" s="1" t="s">
        <v>597</v>
      </c>
      <c r="F134" s="1" t="s">
        <v>651</v>
      </c>
    </row>
    <row r="135" spans="1:6">
      <c r="A135" s="3" t="s">
        <v>268</v>
      </c>
      <c r="B135" s="1" t="s">
        <v>269</v>
      </c>
      <c r="C135" s="1" t="s">
        <v>595</v>
      </c>
      <c r="D135" s="1" t="s">
        <v>596</v>
      </c>
      <c r="E135" s="1" t="s">
        <v>608</v>
      </c>
      <c r="F135" s="1" t="s">
        <v>650</v>
      </c>
    </row>
    <row r="136" spans="1:6">
      <c r="A136" s="3" t="s">
        <v>270</v>
      </c>
      <c r="B136" s="1" t="s">
        <v>271</v>
      </c>
      <c r="C136" s="1" t="s">
        <v>653</v>
      </c>
      <c r="D136" s="1" t="s">
        <v>663</v>
      </c>
      <c r="E136" s="1" t="s">
        <v>638</v>
      </c>
      <c r="F136" s="1" t="s">
        <v>638</v>
      </c>
    </row>
    <row r="137" spans="1:6">
      <c r="A137" s="24" t="s">
        <v>272</v>
      </c>
      <c r="B137" s="27" t="s">
        <v>273</v>
      </c>
      <c r="C137" s="1" t="s">
        <v>595</v>
      </c>
      <c r="D137" s="1" t="s">
        <v>638</v>
      </c>
      <c r="E137" s="1" t="s">
        <v>638</v>
      </c>
      <c r="F137" s="1" t="s">
        <v>638</v>
      </c>
    </row>
    <row r="138" spans="1:6">
      <c r="A138" s="3" t="s">
        <v>274</v>
      </c>
      <c r="B138" s="1" t="s">
        <v>275</v>
      </c>
      <c r="C138" s="1" t="s">
        <v>595</v>
      </c>
      <c r="D138" s="1" t="s">
        <v>596</v>
      </c>
      <c r="E138" s="1" t="s">
        <v>597</v>
      </c>
      <c r="F138" s="1" t="s">
        <v>651</v>
      </c>
    </row>
    <row r="139" spans="1:6">
      <c r="A139" s="3" t="s">
        <v>276</v>
      </c>
      <c r="B139" s="1" t="s">
        <v>277</v>
      </c>
      <c r="C139" s="1" t="s">
        <v>595</v>
      </c>
      <c r="D139" s="1" t="s">
        <v>596</v>
      </c>
      <c r="E139" s="1" t="s">
        <v>608</v>
      </c>
      <c r="F139" s="1" t="s">
        <v>650</v>
      </c>
    </row>
    <row r="140" spans="1:6">
      <c r="A140" s="3" t="s">
        <v>278</v>
      </c>
      <c r="B140" s="1" t="s">
        <v>679</v>
      </c>
      <c r="C140" s="1" t="s">
        <v>595</v>
      </c>
      <c r="D140" s="1" t="s">
        <v>596</v>
      </c>
      <c r="E140" s="1" t="s">
        <v>597</v>
      </c>
      <c r="F140" s="1" t="s">
        <v>680</v>
      </c>
    </row>
    <row r="141" spans="1:6">
      <c r="A141" s="3" t="s">
        <v>280</v>
      </c>
      <c r="B141" s="1" t="s">
        <v>681</v>
      </c>
      <c r="C141" s="1" t="s">
        <v>595</v>
      </c>
      <c r="D141" s="1" t="s">
        <v>596</v>
      </c>
      <c r="E141" s="1" t="s">
        <v>597</v>
      </c>
      <c r="F141" s="1" t="s">
        <v>680</v>
      </c>
    </row>
    <row r="142" spans="1:6">
      <c r="A142" s="3" t="s">
        <v>282</v>
      </c>
      <c r="B142" s="1" t="s">
        <v>682</v>
      </c>
      <c r="C142" s="1" t="s">
        <v>595</v>
      </c>
      <c r="D142" s="1" t="s">
        <v>596</v>
      </c>
      <c r="E142" s="1" t="s">
        <v>597</v>
      </c>
      <c r="F142" s="1" t="s">
        <v>680</v>
      </c>
    </row>
    <row r="143" spans="1:6">
      <c r="A143" s="3" t="s">
        <v>284</v>
      </c>
      <c r="B143" s="1" t="s">
        <v>285</v>
      </c>
      <c r="C143" s="1" t="s">
        <v>653</v>
      </c>
      <c r="D143" s="1" t="s">
        <v>673</v>
      </c>
      <c r="E143" s="1" t="s">
        <v>638</v>
      </c>
      <c r="F143" s="1" t="s">
        <v>638</v>
      </c>
    </row>
    <row r="144" spans="1:6">
      <c r="A144" s="20" t="s">
        <v>286</v>
      </c>
      <c r="B144" s="13" t="s">
        <v>287</v>
      </c>
      <c r="C144" s="3" t="s">
        <v>683</v>
      </c>
      <c r="D144" s="4" t="s">
        <v>684</v>
      </c>
      <c r="E144" s="4" t="s">
        <v>638</v>
      </c>
      <c r="F144" t="s">
        <v>638</v>
      </c>
    </row>
    <row r="145" spans="1:6">
      <c r="A145" s="3" t="s">
        <v>288</v>
      </c>
      <c r="B145" s="1" t="s">
        <v>289</v>
      </c>
      <c r="C145" s="3" t="s">
        <v>683</v>
      </c>
      <c r="D145" s="4" t="s">
        <v>684</v>
      </c>
      <c r="E145" s="4" t="s">
        <v>638</v>
      </c>
      <c r="F145" t="s">
        <v>638</v>
      </c>
    </row>
    <row r="146" spans="1:6">
      <c r="A146" s="3" t="s">
        <v>290</v>
      </c>
      <c r="B146" s="1" t="s">
        <v>291</v>
      </c>
      <c r="C146" s="1" t="s">
        <v>653</v>
      </c>
      <c r="D146" s="1" t="s">
        <v>663</v>
      </c>
      <c r="E146" s="1" t="s">
        <v>638</v>
      </c>
      <c r="F146" s="1" t="s">
        <v>638</v>
      </c>
    </row>
    <row r="147" spans="1:6">
      <c r="A147" s="3" t="s">
        <v>292</v>
      </c>
      <c r="B147" s="1" t="s">
        <v>293</v>
      </c>
      <c r="C147" s="1" t="s">
        <v>595</v>
      </c>
      <c r="D147" s="1" t="s">
        <v>596</v>
      </c>
      <c r="E147" s="1" t="s">
        <v>605</v>
      </c>
      <c r="F147" s="1" t="s">
        <v>652</v>
      </c>
    </row>
    <row r="148" spans="1:6">
      <c r="A148" s="3" t="s">
        <v>294</v>
      </c>
      <c r="B148" s="1" t="s">
        <v>295</v>
      </c>
      <c r="C148" s="1" t="s">
        <v>595</v>
      </c>
      <c r="D148" s="1" t="s">
        <v>596</v>
      </c>
      <c r="E148" s="1" t="s">
        <v>605</v>
      </c>
      <c r="F148" s="1" t="s">
        <v>652</v>
      </c>
    </row>
    <row r="149" spans="1:6">
      <c r="A149" s="3" t="s">
        <v>296</v>
      </c>
      <c r="B149" s="1" t="s">
        <v>297</v>
      </c>
      <c r="C149" s="1" t="s">
        <v>653</v>
      </c>
      <c r="D149" s="1" t="s">
        <v>663</v>
      </c>
      <c r="E149" s="1" t="s">
        <v>638</v>
      </c>
      <c r="F149" s="1" t="s">
        <v>638</v>
      </c>
    </row>
    <row r="150" spans="1:6">
      <c r="A150" s="3" t="s">
        <v>298</v>
      </c>
      <c r="B150" s="1" t="s">
        <v>299</v>
      </c>
      <c r="C150" s="1" t="s">
        <v>595</v>
      </c>
      <c r="D150" s="1" t="s">
        <v>596</v>
      </c>
      <c r="E150" s="1" t="s">
        <v>685</v>
      </c>
      <c r="F150" s="1" t="s">
        <v>686</v>
      </c>
    </row>
    <row r="151" spans="1:6">
      <c r="A151" s="3" t="s">
        <v>300</v>
      </c>
      <c r="B151" s="1" t="s">
        <v>301</v>
      </c>
      <c r="C151" s="1" t="s">
        <v>595</v>
      </c>
      <c r="D151" s="1" t="s">
        <v>596</v>
      </c>
      <c r="E151" s="1" t="s">
        <v>685</v>
      </c>
      <c r="F151" s="1" t="s">
        <v>687</v>
      </c>
    </row>
    <row r="152" spans="1:6">
      <c r="A152" s="3" t="s">
        <v>302</v>
      </c>
      <c r="B152" s="1" t="s">
        <v>303</v>
      </c>
      <c r="C152" s="1" t="s">
        <v>595</v>
      </c>
      <c r="D152" s="1" t="s">
        <v>596</v>
      </c>
      <c r="E152" s="1" t="s">
        <v>685</v>
      </c>
      <c r="F152" s="1" t="s">
        <v>688</v>
      </c>
    </row>
    <row r="153" spans="1:6">
      <c r="A153" s="3" t="s">
        <v>304</v>
      </c>
      <c r="B153" s="1" t="s">
        <v>305</v>
      </c>
      <c r="C153" s="1" t="s">
        <v>595</v>
      </c>
      <c r="D153" s="1" t="s">
        <v>599</v>
      </c>
      <c r="E153" s="1" t="s">
        <v>613</v>
      </c>
      <c r="F153" s="1" t="s">
        <v>689</v>
      </c>
    </row>
    <row r="154" spans="1:6">
      <c r="A154" s="3" t="s">
        <v>306</v>
      </c>
      <c r="B154" s="1" t="s">
        <v>307</v>
      </c>
      <c r="C154" s="1" t="s">
        <v>595</v>
      </c>
      <c r="D154" s="1" t="s">
        <v>596</v>
      </c>
      <c r="E154" s="1" t="s">
        <v>597</v>
      </c>
      <c r="F154" s="1" t="s">
        <v>598</v>
      </c>
    </row>
    <row r="155" spans="1:6">
      <c r="A155" s="3" t="s">
        <v>308</v>
      </c>
      <c r="B155" s="1" t="s">
        <v>309</v>
      </c>
      <c r="C155" s="1" t="s">
        <v>595</v>
      </c>
      <c r="D155" s="1" t="s">
        <v>596</v>
      </c>
      <c r="E155" s="1" t="s">
        <v>597</v>
      </c>
      <c r="F155" s="1" t="s">
        <v>651</v>
      </c>
    </row>
    <row r="156" spans="1:6">
      <c r="A156" s="3" t="s">
        <v>310</v>
      </c>
      <c r="B156" s="1" t="s">
        <v>311</v>
      </c>
      <c r="C156" s="1" t="s">
        <v>595</v>
      </c>
      <c r="D156" s="1" t="s">
        <v>596</v>
      </c>
      <c r="E156" s="1" t="s">
        <v>608</v>
      </c>
      <c r="F156" s="1" t="s">
        <v>650</v>
      </c>
    </row>
    <row r="157" spans="1:6">
      <c r="A157" s="3" t="s">
        <v>312</v>
      </c>
      <c r="B157" s="1" t="s">
        <v>313</v>
      </c>
      <c r="C157" s="1" t="s">
        <v>595</v>
      </c>
      <c r="D157" s="1" t="s">
        <v>596</v>
      </c>
      <c r="E157" s="1" t="s">
        <v>605</v>
      </c>
      <c r="F157" s="1" t="s">
        <v>652</v>
      </c>
    </row>
    <row r="158" spans="1:6">
      <c r="A158" s="3" t="s">
        <v>314</v>
      </c>
      <c r="B158" s="1" t="s">
        <v>315</v>
      </c>
      <c r="C158" s="1" t="s">
        <v>653</v>
      </c>
      <c r="D158" s="1" t="s">
        <v>671</v>
      </c>
      <c r="E158" s="1" t="s">
        <v>638</v>
      </c>
      <c r="F158" s="1" t="s">
        <v>638</v>
      </c>
    </row>
    <row r="159" spans="1:6">
      <c r="A159" s="3" t="s">
        <v>316</v>
      </c>
      <c r="B159" s="1" t="s">
        <v>317</v>
      </c>
      <c r="C159" s="1" t="s">
        <v>690</v>
      </c>
      <c r="D159" s="1" t="s">
        <v>691</v>
      </c>
      <c r="E159" s="1" t="s">
        <v>692</v>
      </c>
      <c r="F159" s="1" t="s">
        <v>638</v>
      </c>
    </row>
    <row r="160" spans="1:6">
      <c r="A160" s="3" t="s">
        <v>318</v>
      </c>
      <c r="B160" s="1" t="s">
        <v>319</v>
      </c>
      <c r="C160" s="1" t="s">
        <v>690</v>
      </c>
      <c r="D160" s="1" t="s">
        <v>691</v>
      </c>
      <c r="E160" s="1" t="s">
        <v>692</v>
      </c>
      <c r="F160" s="1" t="s">
        <v>638</v>
      </c>
    </row>
    <row r="161" spans="1:6">
      <c r="A161" s="3" t="s">
        <v>320</v>
      </c>
      <c r="B161" s="1" t="s">
        <v>321</v>
      </c>
      <c r="C161" s="1" t="s">
        <v>690</v>
      </c>
      <c r="D161" s="1" t="s">
        <v>691</v>
      </c>
      <c r="E161" s="1" t="s">
        <v>692</v>
      </c>
      <c r="F161" s="1" t="s">
        <v>638</v>
      </c>
    </row>
    <row r="162" spans="1:6">
      <c r="A162" s="3" t="s">
        <v>322</v>
      </c>
      <c r="B162" s="1" t="s">
        <v>323</v>
      </c>
      <c r="C162" s="1" t="s">
        <v>595</v>
      </c>
      <c r="D162" s="1" t="s">
        <v>656</v>
      </c>
      <c r="E162" s="1" t="s">
        <v>657</v>
      </c>
      <c r="F162" s="1" t="s">
        <v>638</v>
      </c>
    </row>
    <row r="163" spans="1:6">
      <c r="A163" s="3" t="s">
        <v>324</v>
      </c>
      <c r="B163" s="1" t="s">
        <v>325</v>
      </c>
      <c r="C163" s="1" t="s">
        <v>595</v>
      </c>
      <c r="D163" s="1" t="s">
        <v>596</v>
      </c>
      <c r="E163" s="1" t="s">
        <v>597</v>
      </c>
      <c r="F163" s="1" t="s">
        <v>693</v>
      </c>
    </row>
    <row r="164" spans="1:6">
      <c r="A164" s="3" t="s">
        <v>326</v>
      </c>
      <c r="B164" s="1" t="s">
        <v>327</v>
      </c>
      <c r="C164" s="1" t="s">
        <v>595</v>
      </c>
      <c r="D164" s="1" t="s">
        <v>656</v>
      </c>
      <c r="E164" s="1" t="s">
        <v>668</v>
      </c>
      <c r="F164" s="1" t="s">
        <v>638</v>
      </c>
    </row>
    <row r="165" spans="1:6">
      <c r="A165" s="3" t="s">
        <v>328</v>
      </c>
      <c r="B165" s="1" t="s">
        <v>329</v>
      </c>
      <c r="C165" s="1" t="s">
        <v>595</v>
      </c>
      <c r="D165" s="1" t="s">
        <v>656</v>
      </c>
      <c r="E165" s="1" t="s">
        <v>668</v>
      </c>
      <c r="F165" s="1" t="s">
        <v>638</v>
      </c>
    </row>
    <row r="166" spans="1:6">
      <c r="A166" s="3" t="s">
        <v>330</v>
      </c>
      <c r="B166" s="1" t="s">
        <v>331</v>
      </c>
      <c r="C166" s="1" t="s">
        <v>595</v>
      </c>
      <c r="D166" s="1" t="s">
        <v>656</v>
      </c>
      <c r="E166" s="1" t="s">
        <v>668</v>
      </c>
      <c r="F166" s="1" t="s">
        <v>638</v>
      </c>
    </row>
    <row r="167" spans="1:6">
      <c r="A167" s="3" t="s">
        <v>332</v>
      </c>
      <c r="B167" s="1" t="s">
        <v>333</v>
      </c>
      <c r="C167" s="1" t="s">
        <v>595</v>
      </c>
      <c r="D167" s="1" t="s">
        <v>636</v>
      </c>
      <c r="E167" s="1" t="s">
        <v>637</v>
      </c>
      <c r="F167" s="1" t="s">
        <v>694</v>
      </c>
    </row>
    <row r="168" spans="1:6">
      <c r="A168" s="3" t="s">
        <v>334</v>
      </c>
      <c r="B168" s="1" t="s">
        <v>335</v>
      </c>
      <c r="C168" s="1" t="s">
        <v>595</v>
      </c>
      <c r="D168" s="1" t="s">
        <v>695</v>
      </c>
      <c r="E168" s="1" t="s">
        <v>696</v>
      </c>
      <c r="F168" s="1" t="s">
        <v>638</v>
      </c>
    </row>
    <row r="169" spans="1:6">
      <c r="A169" s="3" t="s">
        <v>336</v>
      </c>
      <c r="B169" s="1" t="s">
        <v>337</v>
      </c>
      <c r="C169" s="1" t="s">
        <v>595</v>
      </c>
      <c r="D169" s="1" t="s">
        <v>599</v>
      </c>
      <c r="E169" s="1" t="s">
        <v>616</v>
      </c>
      <c r="F169" s="1" t="s">
        <v>617</v>
      </c>
    </row>
    <row r="170" spans="1:6">
      <c r="A170" s="3" t="s">
        <v>338</v>
      </c>
      <c r="B170" s="1" t="s">
        <v>339</v>
      </c>
      <c r="C170" s="1" t="s">
        <v>595</v>
      </c>
      <c r="D170" s="1" t="s">
        <v>599</v>
      </c>
      <c r="E170" s="1" t="s">
        <v>616</v>
      </c>
      <c r="F170" s="1" t="s">
        <v>617</v>
      </c>
    </row>
    <row r="171" spans="1:6">
      <c r="A171" s="3" t="s">
        <v>340</v>
      </c>
      <c r="B171" s="1" t="s">
        <v>341</v>
      </c>
      <c r="C171" s="1" t="s">
        <v>595</v>
      </c>
      <c r="D171" s="1" t="s">
        <v>695</v>
      </c>
      <c r="E171" s="1" t="s">
        <v>696</v>
      </c>
      <c r="F171" s="1" t="s">
        <v>638</v>
      </c>
    </row>
    <row r="172" spans="1:6">
      <c r="A172" s="3" t="s">
        <v>342</v>
      </c>
      <c r="B172" s="1" t="s">
        <v>343</v>
      </c>
      <c r="C172" s="1" t="s">
        <v>595</v>
      </c>
      <c r="D172" s="1" t="s">
        <v>656</v>
      </c>
      <c r="E172" s="1" t="s">
        <v>668</v>
      </c>
      <c r="F172" s="1" t="s">
        <v>638</v>
      </c>
    </row>
    <row r="173" spans="1:6">
      <c r="A173" s="3" t="s">
        <v>344</v>
      </c>
      <c r="B173" s="1" t="s">
        <v>345</v>
      </c>
      <c r="C173" s="1" t="s">
        <v>595</v>
      </c>
      <c r="D173" s="1" t="s">
        <v>656</v>
      </c>
      <c r="E173" s="1" t="s">
        <v>668</v>
      </c>
      <c r="F173" s="1" t="s">
        <v>638</v>
      </c>
    </row>
    <row r="174" spans="1:6">
      <c r="A174" s="3" t="s">
        <v>346</v>
      </c>
      <c r="B174" s="1" t="s">
        <v>347</v>
      </c>
      <c r="C174" s="1" t="s">
        <v>595</v>
      </c>
      <c r="D174" s="1" t="s">
        <v>636</v>
      </c>
      <c r="E174" s="1" t="s">
        <v>637</v>
      </c>
      <c r="F174" s="1" t="s">
        <v>638</v>
      </c>
    </row>
    <row r="175" spans="1:6">
      <c r="A175" s="3" t="s">
        <v>348</v>
      </c>
      <c r="B175" s="1" t="s">
        <v>349</v>
      </c>
      <c r="C175" s="1" t="s">
        <v>595</v>
      </c>
      <c r="D175" s="1" t="s">
        <v>596</v>
      </c>
      <c r="E175" s="1" t="s">
        <v>605</v>
      </c>
      <c r="F175" s="1" t="s">
        <v>697</v>
      </c>
    </row>
    <row r="176" spans="1:6">
      <c r="A176" s="3" t="s">
        <v>350</v>
      </c>
      <c r="B176" s="1" t="s">
        <v>351</v>
      </c>
      <c r="C176" s="1" t="s">
        <v>595</v>
      </c>
      <c r="D176" s="1" t="s">
        <v>596</v>
      </c>
      <c r="E176" s="1" t="s">
        <v>597</v>
      </c>
      <c r="F176" s="1" t="s">
        <v>698</v>
      </c>
    </row>
    <row r="177" spans="1:6">
      <c r="A177" s="3" t="s">
        <v>352</v>
      </c>
      <c r="B177" s="1" t="s">
        <v>353</v>
      </c>
      <c r="C177" s="1" t="s">
        <v>595</v>
      </c>
      <c r="D177" s="1" t="s">
        <v>699</v>
      </c>
      <c r="E177" s="1" t="s">
        <v>700</v>
      </c>
      <c r="F177" s="1" t="s">
        <v>638</v>
      </c>
    </row>
    <row r="178" spans="1:6">
      <c r="A178" s="3" t="s">
        <v>354</v>
      </c>
      <c r="B178" s="1" t="s">
        <v>355</v>
      </c>
      <c r="C178" s="1" t="s">
        <v>595</v>
      </c>
      <c r="D178" s="1" t="s">
        <v>596</v>
      </c>
      <c r="E178" s="1" t="s">
        <v>597</v>
      </c>
      <c r="F178" s="1" t="s">
        <v>693</v>
      </c>
    </row>
    <row r="179" spans="1:6">
      <c r="A179" s="3" t="s">
        <v>356</v>
      </c>
      <c r="B179" s="1" t="s">
        <v>357</v>
      </c>
      <c r="C179" s="1" t="s">
        <v>595</v>
      </c>
      <c r="D179" s="1" t="s">
        <v>596</v>
      </c>
      <c r="E179" s="1" t="s">
        <v>597</v>
      </c>
      <c r="F179" s="1" t="s">
        <v>693</v>
      </c>
    </row>
    <row r="180" spans="1:6" ht="15.75">
      <c r="A180" s="3" t="s">
        <v>358</v>
      </c>
      <c r="B180" s="1" t="s">
        <v>359</v>
      </c>
      <c r="C180" s="1" t="s">
        <v>595</v>
      </c>
      <c r="D180" s="1" t="s">
        <v>599</v>
      </c>
      <c r="E180" s="1" t="s">
        <v>611</v>
      </c>
      <c r="F180" s="2" t="s">
        <v>612</v>
      </c>
    </row>
    <row r="181" spans="1:6">
      <c r="A181" s="3" t="s">
        <v>360</v>
      </c>
      <c r="B181" s="1" t="s">
        <v>361</v>
      </c>
      <c r="C181" s="1" t="s">
        <v>683</v>
      </c>
      <c r="D181" s="1" t="s">
        <v>638</v>
      </c>
      <c r="E181" s="1" t="s">
        <v>638</v>
      </c>
      <c r="F181" s="1" t="s">
        <v>638</v>
      </c>
    </row>
    <row r="182" spans="1:6">
      <c r="A182" s="3" t="s">
        <v>362</v>
      </c>
      <c r="B182" s="1" t="s">
        <v>363</v>
      </c>
      <c r="C182" s="1" t="s">
        <v>595</v>
      </c>
      <c r="D182" s="1" t="s">
        <v>656</v>
      </c>
      <c r="E182" s="1" t="s">
        <v>657</v>
      </c>
      <c r="F182" s="1" t="s">
        <v>638</v>
      </c>
    </row>
    <row r="183" spans="1:6">
      <c r="A183" s="3" t="s">
        <v>364</v>
      </c>
      <c r="B183" s="1" t="s">
        <v>365</v>
      </c>
      <c r="C183" s="1" t="s">
        <v>653</v>
      </c>
      <c r="D183" s="1" t="s">
        <v>673</v>
      </c>
      <c r="E183" s="1" t="s">
        <v>674</v>
      </c>
      <c r="F183" s="1" t="s">
        <v>638</v>
      </c>
    </row>
    <row r="184" spans="1:6">
      <c r="A184" s="3" t="s">
        <v>366</v>
      </c>
      <c r="B184" s="1" t="s">
        <v>367</v>
      </c>
      <c r="C184" s="1" t="s">
        <v>595</v>
      </c>
      <c r="D184" s="1" t="s">
        <v>701</v>
      </c>
      <c r="E184" s="1" t="s">
        <v>702</v>
      </c>
      <c r="F184" s="1" t="s">
        <v>638</v>
      </c>
    </row>
    <row r="185" spans="1:6">
      <c r="A185" s="3" t="s">
        <v>368</v>
      </c>
      <c r="B185" s="1" t="s">
        <v>369</v>
      </c>
      <c r="C185" s="1" t="s">
        <v>653</v>
      </c>
      <c r="D185" s="1" t="s">
        <v>663</v>
      </c>
      <c r="E185" s="1" t="s">
        <v>638</v>
      </c>
      <c r="F185" s="1" t="s">
        <v>638</v>
      </c>
    </row>
    <row r="186" spans="1:6">
      <c r="A186" s="3" t="s">
        <v>370</v>
      </c>
      <c r="B186" s="1" t="s">
        <v>371</v>
      </c>
      <c r="C186" s="1" t="s">
        <v>653</v>
      </c>
      <c r="D186" s="1" t="s">
        <v>671</v>
      </c>
      <c r="E186" s="1" t="s">
        <v>638</v>
      </c>
      <c r="F186" s="1" t="s">
        <v>638</v>
      </c>
    </row>
    <row r="187" spans="1:6">
      <c r="A187" s="3" t="s">
        <v>372</v>
      </c>
      <c r="B187" s="1" t="s">
        <v>373</v>
      </c>
      <c r="C187" s="1" t="s">
        <v>595</v>
      </c>
      <c r="D187" s="1" t="s">
        <v>596</v>
      </c>
      <c r="E187" s="1" t="s">
        <v>605</v>
      </c>
      <c r="F187" s="1" t="s">
        <v>652</v>
      </c>
    </row>
    <row r="188" spans="1:6">
      <c r="A188" s="3" t="s">
        <v>374</v>
      </c>
      <c r="B188" s="1" t="s">
        <v>375</v>
      </c>
      <c r="C188" s="1" t="s">
        <v>653</v>
      </c>
      <c r="D188" s="1" t="s">
        <v>659</v>
      </c>
      <c r="E188" s="1" t="s">
        <v>638</v>
      </c>
      <c r="F188" s="1" t="s">
        <v>638</v>
      </c>
    </row>
    <row r="189" spans="1:6">
      <c r="A189" s="3" t="s">
        <v>376</v>
      </c>
      <c r="B189" s="1" t="s">
        <v>377</v>
      </c>
      <c r="C189" s="1" t="s">
        <v>653</v>
      </c>
      <c r="D189" s="1" t="s">
        <v>663</v>
      </c>
      <c r="E189" s="1" t="s">
        <v>638</v>
      </c>
      <c r="F189" s="1" t="s">
        <v>638</v>
      </c>
    </row>
    <row r="190" spans="1:6">
      <c r="A190" s="3" t="s">
        <v>378</v>
      </c>
      <c r="B190" s="1" t="s">
        <v>379</v>
      </c>
      <c r="C190" s="1" t="s">
        <v>653</v>
      </c>
      <c r="D190" s="1" t="s">
        <v>671</v>
      </c>
      <c r="E190" s="1" t="s">
        <v>638</v>
      </c>
      <c r="F190" s="1" t="s">
        <v>638</v>
      </c>
    </row>
    <row r="191" spans="1:6">
      <c r="A191" s="3" t="s">
        <v>380</v>
      </c>
      <c r="B191" s="1" t="s">
        <v>703</v>
      </c>
      <c r="C191" s="1" t="s">
        <v>595</v>
      </c>
      <c r="D191" s="1" t="s">
        <v>596</v>
      </c>
      <c r="E191" s="1" t="s">
        <v>605</v>
      </c>
      <c r="F191" s="1" t="s">
        <v>606</v>
      </c>
    </row>
    <row r="192" spans="1:6">
      <c r="A192" s="3" t="s">
        <v>382</v>
      </c>
      <c r="B192" s="1" t="s">
        <v>704</v>
      </c>
      <c r="C192" s="1" t="s">
        <v>595</v>
      </c>
      <c r="D192" s="1" t="s">
        <v>596</v>
      </c>
      <c r="E192" s="1" t="s">
        <v>608</v>
      </c>
      <c r="F192" s="1" t="s">
        <v>610</v>
      </c>
    </row>
    <row r="193" spans="1:6">
      <c r="A193" s="3" t="s">
        <v>384</v>
      </c>
      <c r="B193" s="1" t="s">
        <v>385</v>
      </c>
      <c r="C193" s="1" t="s">
        <v>705</v>
      </c>
      <c r="D193" s="1" t="s">
        <v>638</v>
      </c>
      <c r="E193" s="1" t="s">
        <v>638</v>
      </c>
      <c r="F193" s="1" t="s">
        <v>638</v>
      </c>
    </row>
    <row r="194" spans="1:6">
      <c r="A194" s="3" t="s">
        <v>386</v>
      </c>
      <c r="B194" s="1" t="s">
        <v>706</v>
      </c>
      <c r="C194" s="1" t="s">
        <v>595</v>
      </c>
      <c r="D194" s="1" t="s">
        <v>699</v>
      </c>
      <c r="E194" s="1" t="s">
        <v>700</v>
      </c>
      <c r="F194" s="1" t="s">
        <v>638</v>
      </c>
    </row>
    <row r="195" spans="1:6">
      <c r="A195" s="3" t="s">
        <v>388</v>
      </c>
      <c r="B195" s="1" t="s">
        <v>389</v>
      </c>
      <c r="C195" s="1" t="s">
        <v>595</v>
      </c>
      <c r="D195" s="1" t="s">
        <v>656</v>
      </c>
      <c r="E195" s="1" t="s">
        <v>657</v>
      </c>
      <c r="F195" s="1" t="s">
        <v>638</v>
      </c>
    </row>
    <row r="196" spans="1:6">
      <c r="A196" s="3" t="s">
        <v>390</v>
      </c>
      <c r="B196" s="1" t="s">
        <v>707</v>
      </c>
      <c r="C196" s="1" t="s">
        <v>595</v>
      </c>
      <c r="D196" s="1" t="s">
        <v>599</v>
      </c>
      <c r="E196" s="1" t="s">
        <v>613</v>
      </c>
      <c r="F196" s="1" t="s">
        <v>623</v>
      </c>
    </row>
    <row r="197" spans="1:6">
      <c r="A197" s="3" t="s">
        <v>392</v>
      </c>
      <c r="B197" s="1" t="s">
        <v>393</v>
      </c>
      <c r="C197" s="1" t="s">
        <v>595</v>
      </c>
      <c r="D197" s="1" t="s">
        <v>599</v>
      </c>
      <c r="E197" s="1" t="s">
        <v>613</v>
      </c>
      <c r="F197" s="1" t="s">
        <v>623</v>
      </c>
    </row>
    <row r="198" spans="1:6">
      <c r="A198" s="3" t="s">
        <v>394</v>
      </c>
      <c r="B198" s="1" t="s">
        <v>395</v>
      </c>
      <c r="C198" s="1" t="s">
        <v>653</v>
      </c>
      <c r="D198" s="1" t="s">
        <v>663</v>
      </c>
      <c r="E198" s="1" t="s">
        <v>638</v>
      </c>
      <c r="F198" s="1" t="s">
        <v>638</v>
      </c>
    </row>
    <row r="199" spans="1:6">
      <c r="A199" s="3" t="s">
        <v>396</v>
      </c>
      <c r="B199" s="1" t="s">
        <v>397</v>
      </c>
      <c r="C199" s="1" t="s">
        <v>690</v>
      </c>
      <c r="D199" s="1" t="s">
        <v>691</v>
      </c>
      <c r="E199" s="1" t="s">
        <v>708</v>
      </c>
      <c r="F199" s="1" t="s">
        <v>638</v>
      </c>
    </row>
    <row r="200" spans="1:6">
      <c r="A200" s="3" t="s">
        <v>398</v>
      </c>
      <c r="B200" s="1" t="s">
        <v>399</v>
      </c>
      <c r="C200" s="1" t="s">
        <v>595</v>
      </c>
      <c r="D200" s="1" t="s">
        <v>656</v>
      </c>
      <c r="E200" s="1" t="s">
        <v>657</v>
      </c>
      <c r="F200" s="1" t="s">
        <v>638</v>
      </c>
    </row>
    <row r="201" spans="1:6">
      <c r="A201" s="3" t="s">
        <v>400</v>
      </c>
      <c r="B201" s="1" t="s">
        <v>401</v>
      </c>
      <c r="C201" s="1" t="s">
        <v>595</v>
      </c>
      <c r="D201" s="1" t="s">
        <v>599</v>
      </c>
      <c r="E201" s="1" t="s">
        <v>600</v>
      </c>
      <c r="F201" s="1" t="s">
        <v>630</v>
      </c>
    </row>
    <row r="202" spans="1:6">
      <c r="A202" s="3" t="s">
        <v>402</v>
      </c>
      <c r="B202" s="1" t="s">
        <v>403</v>
      </c>
      <c r="C202" s="1" t="s">
        <v>653</v>
      </c>
      <c r="D202" s="1" t="s">
        <v>663</v>
      </c>
      <c r="E202" s="1" t="s">
        <v>638</v>
      </c>
      <c r="F202" s="1" t="s">
        <v>638</v>
      </c>
    </row>
    <row r="203" spans="1:6">
      <c r="A203" s="3" t="s">
        <v>404</v>
      </c>
      <c r="B203" s="1" t="s">
        <v>405</v>
      </c>
      <c r="C203" s="1" t="s">
        <v>595</v>
      </c>
      <c r="D203" s="1" t="s">
        <v>599</v>
      </c>
      <c r="E203" s="1" t="s">
        <v>648</v>
      </c>
      <c r="F203" s="1" t="s">
        <v>649</v>
      </c>
    </row>
    <row r="204" spans="1:6">
      <c r="A204" s="3" t="s">
        <v>406</v>
      </c>
      <c r="B204" s="1" t="s">
        <v>407</v>
      </c>
      <c r="C204" s="1" t="s">
        <v>595</v>
      </c>
      <c r="D204" s="1" t="s">
        <v>596</v>
      </c>
      <c r="E204" s="1" t="s">
        <v>605</v>
      </c>
      <c r="F204" s="1" t="s">
        <v>607</v>
      </c>
    </row>
    <row r="205" spans="1:6">
      <c r="A205" s="3" t="s">
        <v>408</v>
      </c>
      <c r="B205" s="1" t="s">
        <v>409</v>
      </c>
      <c r="C205" s="1" t="s">
        <v>709</v>
      </c>
      <c r="D205" s="1" t="s">
        <v>638</v>
      </c>
      <c r="E205" s="1" t="s">
        <v>638</v>
      </c>
      <c r="F205" s="1" t="s">
        <v>638</v>
      </c>
    </row>
    <row r="206" spans="1:6">
      <c r="A206" s="3" t="s">
        <v>410</v>
      </c>
      <c r="B206" s="1" t="s">
        <v>411</v>
      </c>
      <c r="C206" s="1" t="s">
        <v>653</v>
      </c>
      <c r="D206" s="1" t="s">
        <v>659</v>
      </c>
      <c r="E206" s="1" t="s">
        <v>638</v>
      </c>
      <c r="F206" s="1" t="s">
        <v>658</v>
      </c>
    </row>
    <row r="207" spans="1:6">
      <c r="A207" s="3" t="s">
        <v>412</v>
      </c>
      <c r="B207" s="1" t="s">
        <v>413</v>
      </c>
      <c r="C207" s="1" t="s">
        <v>595</v>
      </c>
      <c r="D207" s="1" t="s">
        <v>656</v>
      </c>
      <c r="E207" s="1" t="s">
        <v>668</v>
      </c>
      <c r="F207" s="1" t="s">
        <v>638</v>
      </c>
    </row>
    <row r="208" spans="1:6">
      <c r="A208" s="3" t="s">
        <v>414</v>
      </c>
      <c r="B208" s="1" t="s">
        <v>415</v>
      </c>
      <c r="C208" s="1" t="s">
        <v>595</v>
      </c>
      <c r="D208" s="1" t="s">
        <v>656</v>
      </c>
      <c r="E208" s="1" t="s">
        <v>668</v>
      </c>
      <c r="F208" s="1" t="s">
        <v>638</v>
      </c>
    </row>
    <row r="209" spans="1:6">
      <c r="A209" s="3" t="s">
        <v>416</v>
      </c>
      <c r="B209" s="1" t="s">
        <v>413</v>
      </c>
      <c r="C209" s="1" t="s">
        <v>595</v>
      </c>
      <c r="D209" s="1" t="s">
        <v>656</v>
      </c>
      <c r="E209" s="1" t="s">
        <v>668</v>
      </c>
      <c r="F209" s="1" t="s">
        <v>638</v>
      </c>
    </row>
    <row r="210" spans="1:6">
      <c r="A210" s="3" t="s">
        <v>417</v>
      </c>
      <c r="B210" s="1" t="s">
        <v>418</v>
      </c>
      <c r="C210" s="1" t="s">
        <v>653</v>
      </c>
      <c r="D210" s="1" t="s">
        <v>663</v>
      </c>
      <c r="E210" s="1" t="s">
        <v>638</v>
      </c>
      <c r="F210" s="1" t="s">
        <v>638</v>
      </c>
    </row>
    <row r="211" spans="1:6">
      <c r="A211" s="3" t="s">
        <v>419</v>
      </c>
      <c r="B211" s="1" t="s">
        <v>420</v>
      </c>
      <c r="C211" s="1" t="s">
        <v>653</v>
      </c>
      <c r="D211" s="1" t="s">
        <v>663</v>
      </c>
      <c r="E211" s="1" t="s">
        <v>638</v>
      </c>
      <c r="F211" s="1" t="s">
        <v>638</v>
      </c>
    </row>
    <row r="212" spans="1:6">
      <c r="A212" s="3" t="s">
        <v>421</v>
      </c>
      <c r="B212" s="1" t="s">
        <v>422</v>
      </c>
      <c r="C212" s="1" t="s">
        <v>653</v>
      </c>
      <c r="D212" s="1" t="s">
        <v>659</v>
      </c>
      <c r="E212" s="1" t="s">
        <v>638</v>
      </c>
      <c r="F212" s="1" t="s">
        <v>658</v>
      </c>
    </row>
    <row r="213" spans="1:6">
      <c r="A213" s="3" t="s">
        <v>423</v>
      </c>
      <c r="B213" s="1" t="s">
        <v>424</v>
      </c>
      <c r="C213" s="1" t="s">
        <v>705</v>
      </c>
      <c r="D213" s="1" t="s">
        <v>638</v>
      </c>
      <c r="E213" s="1" t="s">
        <v>638</v>
      </c>
      <c r="F213" s="1" t="s">
        <v>638</v>
      </c>
    </row>
    <row r="214" spans="1:6">
      <c r="A214" s="3" t="s">
        <v>425</v>
      </c>
      <c r="B214" s="1" t="s">
        <v>426</v>
      </c>
      <c r="C214" s="1" t="s">
        <v>595</v>
      </c>
      <c r="D214" s="1" t="s">
        <v>710</v>
      </c>
      <c r="E214" s="1" t="s">
        <v>638</v>
      </c>
      <c r="F214" s="1" t="s">
        <v>638</v>
      </c>
    </row>
    <row r="215" spans="1:6">
      <c r="A215" s="21" t="s">
        <v>427</v>
      </c>
      <c r="B215" s="6" t="s">
        <v>428</v>
      </c>
      <c r="C215" s="1" t="s">
        <v>595</v>
      </c>
      <c r="D215" s="1" t="s">
        <v>710</v>
      </c>
      <c r="E215" s="1" t="s">
        <v>638</v>
      </c>
      <c r="F215" s="1" t="s">
        <v>638</v>
      </c>
    </row>
    <row r="216" spans="1:6">
      <c r="A216" s="21" t="s">
        <v>429</v>
      </c>
      <c r="B216" s="6" t="s">
        <v>430</v>
      </c>
      <c r="C216" s="1" t="s">
        <v>653</v>
      </c>
      <c r="D216" s="1" t="s">
        <v>659</v>
      </c>
      <c r="E216" s="1" t="s">
        <v>638</v>
      </c>
      <c r="F216" s="1" t="s">
        <v>658</v>
      </c>
    </row>
    <row r="217" spans="1:6">
      <c r="A217" s="21" t="s">
        <v>431</v>
      </c>
      <c r="B217" s="6" t="s">
        <v>432</v>
      </c>
      <c r="C217" s="1" t="s">
        <v>595</v>
      </c>
      <c r="D217" s="1" t="s">
        <v>599</v>
      </c>
      <c r="E217" s="1" t="s">
        <v>616</v>
      </c>
      <c r="F217" s="1" t="s">
        <v>617</v>
      </c>
    </row>
    <row r="218" spans="1:6">
      <c r="A218" s="21" t="s">
        <v>433</v>
      </c>
      <c r="B218" s="6" t="s">
        <v>434</v>
      </c>
      <c r="C218" s="1" t="s">
        <v>595</v>
      </c>
      <c r="D218" s="1" t="s">
        <v>599</v>
      </c>
      <c r="E218" s="1" t="s">
        <v>616</v>
      </c>
      <c r="F218" s="1" t="s">
        <v>617</v>
      </c>
    </row>
    <row r="219" spans="1:6">
      <c r="A219" s="21" t="s">
        <v>435</v>
      </c>
      <c r="B219" s="6" t="s">
        <v>436</v>
      </c>
      <c r="C219" s="1" t="s">
        <v>711</v>
      </c>
      <c r="D219" s="1" t="s">
        <v>712</v>
      </c>
      <c r="E219" s="1" t="s">
        <v>638</v>
      </c>
      <c r="F219" s="1" t="s">
        <v>638</v>
      </c>
    </row>
    <row r="220" spans="1:6">
      <c r="A220" s="21" t="s">
        <v>437</v>
      </c>
      <c r="B220" s="6" t="s">
        <v>438</v>
      </c>
      <c r="C220" s="1" t="s">
        <v>711</v>
      </c>
      <c r="D220" s="1" t="s">
        <v>712</v>
      </c>
      <c r="E220" s="1" t="s">
        <v>638</v>
      </c>
      <c r="F220" s="1" t="s">
        <v>638</v>
      </c>
    </row>
    <row r="221" spans="1:6">
      <c r="A221" s="21" t="s">
        <v>439</v>
      </c>
      <c r="B221" s="6" t="s">
        <v>440</v>
      </c>
      <c r="C221" s="1" t="s">
        <v>711</v>
      </c>
      <c r="D221" s="1" t="s">
        <v>713</v>
      </c>
      <c r="E221" s="1" t="s">
        <v>638</v>
      </c>
      <c r="F221" s="1" t="s">
        <v>638</v>
      </c>
    </row>
    <row r="222" spans="1:6">
      <c r="A222" s="21" t="s">
        <v>441</v>
      </c>
      <c r="B222" s="6" t="s">
        <v>442</v>
      </c>
      <c r="C222" s="1" t="s">
        <v>711</v>
      </c>
      <c r="D222" s="1" t="s">
        <v>713</v>
      </c>
      <c r="E222" s="1" t="s">
        <v>638</v>
      </c>
      <c r="F222" s="1" t="s">
        <v>638</v>
      </c>
    </row>
    <row r="223" spans="1:6">
      <c r="A223" s="21" t="s">
        <v>443</v>
      </c>
      <c r="B223" s="6" t="s">
        <v>444</v>
      </c>
      <c r="C223" s="1" t="s">
        <v>690</v>
      </c>
      <c r="D223" s="1" t="s">
        <v>713</v>
      </c>
      <c r="E223" s="1" t="s">
        <v>638</v>
      </c>
      <c r="F223" s="1" t="s">
        <v>638</v>
      </c>
    </row>
    <row r="224" spans="1:6">
      <c r="A224" s="21" t="s">
        <v>445</v>
      </c>
      <c r="B224" s="6" t="s">
        <v>446</v>
      </c>
      <c r="C224" s="1" t="s">
        <v>595</v>
      </c>
      <c r="D224" s="1" t="s">
        <v>656</v>
      </c>
      <c r="E224" s="1" t="s">
        <v>668</v>
      </c>
      <c r="F224" s="1" t="s">
        <v>638</v>
      </c>
    </row>
    <row r="225" spans="1:6">
      <c r="A225" s="21" t="s">
        <v>447</v>
      </c>
      <c r="B225" s="6" t="s">
        <v>448</v>
      </c>
      <c r="C225" s="1" t="s">
        <v>595</v>
      </c>
      <c r="D225" s="1" t="s">
        <v>656</v>
      </c>
      <c r="E225" s="1" t="s">
        <v>668</v>
      </c>
      <c r="F225" s="1" t="s">
        <v>638</v>
      </c>
    </row>
    <row r="226" spans="1:6">
      <c r="A226" s="21" t="s">
        <v>449</v>
      </c>
      <c r="B226" s="6" t="s">
        <v>450</v>
      </c>
      <c r="C226" s="1" t="s">
        <v>595</v>
      </c>
      <c r="D226" s="1" t="s">
        <v>656</v>
      </c>
      <c r="E226" s="1" t="s">
        <v>668</v>
      </c>
      <c r="F226" s="1" t="s">
        <v>638</v>
      </c>
    </row>
    <row r="227" spans="1:6">
      <c r="A227" s="21" t="s">
        <v>451</v>
      </c>
      <c r="B227" s="6" t="s">
        <v>452</v>
      </c>
      <c r="C227" s="1" t="s">
        <v>653</v>
      </c>
      <c r="D227" s="1" t="s">
        <v>664</v>
      </c>
      <c r="E227" s="1" t="s">
        <v>638</v>
      </c>
      <c r="F227" s="1" t="s">
        <v>665</v>
      </c>
    </row>
    <row r="228" spans="1:6">
      <c r="A228" s="21" t="s">
        <v>453</v>
      </c>
      <c r="B228" s="6" t="s">
        <v>454</v>
      </c>
      <c r="C228" s="1" t="s">
        <v>595</v>
      </c>
      <c r="D228" s="1" t="s">
        <v>656</v>
      </c>
      <c r="E228" s="1" t="s">
        <v>668</v>
      </c>
      <c r="F228" s="1" t="s">
        <v>638</v>
      </c>
    </row>
    <row r="229" spans="1:6">
      <c r="A229" s="21" t="s">
        <v>455</v>
      </c>
      <c r="B229" s="6" t="s">
        <v>456</v>
      </c>
      <c r="C229" s="3" t="s">
        <v>595</v>
      </c>
      <c r="D229" s="3" t="s">
        <v>596</v>
      </c>
      <c r="E229" s="4" t="s">
        <v>597</v>
      </c>
      <c r="F229" t="s">
        <v>698</v>
      </c>
    </row>
    <row r="230" spans="1:6">
      <c r="A230" s="26" t="s">
        <v>457</v>
      </c>
      <c r="B230" s="5" t="s">
        <v>458</v>
      </c>
      <c r="C230" s="3" t="s">
        <v>595</v>
      </c>
      <c r="D230" s="3" t="s">
        <v>656</v>
      </c>
      <c r="E230" s="3" t="s">
        <v>668</v>
      </c>
      <c r="F230" t="s">
        <v>638</v>
      </c>
    </row>
    <row r="231" spans="1:6">
      <c r="A231" s="21" t="s">
        <v>459</v>
      </c>
      <c r="B231" s="6" t="s">
        <v>460</v>
      </c>
      <c r="C231" s="3" t="s">
        <v>595</v>
      </c>
      <c r="D231" s="3" t="s">
        <v>656</v>
      </c>
      <c r="E231" s="3" t="s">
        <v>668</v>
      </c>
      <c r="F231" t="s">
        <v>638</v>
      </c>
    </row>
    <row r="232" spans="1:6">
      <c r="A232" s="26" t="s">
        <v>461</v>
      </c>
      <c r="B232" s="5" t="s">
        <v>462</v>
      </c>
      <c r="C232" s="4" t="s">
        <v>711</v>
      </c>
      <c r="D232" s="3" t="s">
        <v>712</v>
      </c>
      <c r="E232" s="4" t="s">
        <v>638</v>
      </c>
      <c r="F232" t="s">
        <v>638</v>
      </c>
    </row>
    <row r="233" spans="1:6">
      <c r="A233" s="21" t="s">
        <v>463</v>
      </c>
      <c r="B233" s="6" t="s">
        <v>464</v>
      </c>
      <c r="C233" s="4" t="s">
        <v>711</v>
      </c>
      <c r="D233" s="3" t="s">
        <v>712</v>
      </c>
      <c r="E233" s="4" t="s">
        <v>638</v>
      </c>
      <c r="F233" t="s">
        <v>638</v>
      </c>
    </row>
    <row r="234" spans="1:6">
      <c r="A234" s="26" t="s">
        <v>465</v>
      </c>
      <c r="B234" s="30" t="s">
        <v>466</v>
      </c>
      <c r="C234" s="4" t="s">
        <v>711</v>
      </c>
      <c r="D234" s="3" t="s">
        <v>712</v>
      </c>
      <c r="E234" s="4" t="s">
        <v>638</v>
      </c>
      <c r="F234" t="s">
        <v>638</v>
      </c>
    </row>
    <row r="235" spans="1:6">
      <c r="A235" s="21" t="s">
        <v>467</v>
      </c>
      <c r="B235" s="28" t="s">
        <v>468</v>
      </c>
      <c r="C235" s="4" t="s">
        <v>714</v>
      </c>
      <c r="D235" s="4" t="s">
        <v>715</v>
      </c>
      <c r="E235" s="4" t="s">
        <v>638</v>
      </c>
      <c r="F235" t="s">
        <v>638</v>
      </c>
    </row>
    <row r="236" spans="1:6">
      <c r="A236" s="22" t="s">
        <v>469</v>
      </c>
      <c r="B236" s="17" t="s">
        <v>470</v>
      </c>
      <c r="C236" t="s">
        <v>716</v>
      </c>
      <c r="D236" s="1" t="s">
        <v>638</v>
      </c>
      <c r="E236" s="1" t="s">
        <v>638</v>
      </c>
      <c r="F236" s="1" t="s">
        <v>638</v>
      </c>
    </row>
    <row r="237" spans="1:6">
      <c r="A237" s="21" t="s">
        <v>471</v>
      </c>
      <c r="B237" s="28" t="s">
        <v>472</v>
      </c>
      <c r="C237" s="3" t="s">
        <v>653</v>
      </c>
      <c r="D237" s="4" t="s">
        <v>717</v>
      </c>
      <c r="E237" s="4" t="s">
        <v>638</v>
      </c>
      <c r="F237" t="s">
        <v>638</v>
      </c>
    </row>
    <row r="238" spans="1:6">
      <c r="A238" s="26" t="s">
        <v>473</v>
      </c>
      <c r="B238" s="30" t="s">
        <v>474</v>
      </c>
      <c r="C238" s="3" t="s">
        <v>653</v>
      </c>
      <c r="D238" s="4" t="s">
        <v>717</v>
      </c>
      <c r="E238" s="4" t="s">
        <v>638</v>
      </c>
      <c r="F238" t="s">
        <v>638</v>
      </c>
    </row>
    <row r="239" spans="1:6">
      <c r="A239" s="21" t="s">
        <v>475</v>
      </c>
      <c r="B239" s="28" t="s">
        <v>476</v>
      </c>
      <c r="C239" s="3" t="s">
        <v>595</v>
      </c>
      <c r="D239" s="3" t="s">
        <v>599</v>
      </c>
      <c r="E239" s="3" t="s">
        <v>600</v>
      </c>
      <c r="F239" t="s">
        <v>619</v>
      </c>
    </row>
    <row r="240" spans="1:6">
      <c r="A240" s="26" t="s">
        <v>477</v>
      </c>
      <c r="B240" s="30" t="s">
        <v>478</v>
      </c>
      <c r="C240" s="3" t="s">
        <v>595</v>
      </c>
      <c r="D240" s="3" t="s">
        <v>599</v>
      </c>
      <c r="E240" s="3" t="s">
        <v>613</v>
      </c>
      <c r="F240" t="s">
        <v>689</v>
      </c>
    </row>
    <row r="241" spans="1:6">
      <c r="A241" s="21" t="s">
        <v>479</v>
      </c>
      <c r="B241" s="28" t="s">
        <v>480</v>
      </c>
      <c r="C241" s="3" t="s">
        <v>653</v>
      </c>
      <c r="D241" s="3" t="s">
        <v>663</v>
      </c>
      <c r="E241" s="3" t="s">
        <v>638</v>
      </c>
      <c r="F241" t="s">
        <v>638</v>
      </c>
    </row>
    <row r="242" spans="1:6">
      <c r="A242" s="26" t="s">
        <v>481</v>
      </c>
      <c r="B242" s="30" t="s">
        <v>482</v>
      </c>
      <c r="C242" s="3" t="s">
        <v>653</v>
      </c>
      <c r="D242" s="3" t="s">
        <v>663</v>
      </c>
      <c r="E242" s="3" t="s">
        <v>638</v>
      </c>
      <c r="F242" t="s">
        <v>638</v>
      </c>
    </row>
    <row r="243" spans="1:6">
      <c r="A243" s="23" t="s">
        <v>483</v>
      </c>
      <c r="B243" s="19" t="s">
        <v>484</v>
      </c>
      <c r="C243" s="1" t="s">
        <v>595</v>
      </c>
      <c r="D243" s="1" t="s">
        <v>638</v>
      </c>
      <c r="E243" s="1" t="s">
        <v>638</v>
      </c>
      <c r="F243" s="1" t="s">
        <v>638</v>
      </c>
    </row>
    <row r="244" spans="1:6">
      <c r="A244" s="22" t="s">
        <v>485</v>
      </c>
      <c r="B244" s="17" t="s">
        <v>486</v>
      </c>
      <c r="D244" s="1" t="s">
        <v>638</v>
      </c>
      <c r="E244" s="1" t="s">
        <v>638</v>
      </c>
      <c r="F244" s="1" t="s">
        <v>638</v>
      </c>
    </row>
    <row r="245" spans="1:6">
      <c r="A245" s="23" t="s">
        <v>487</v>
      </c>
      <c r="B245" s="19" t="s">
        <v>488</v>
      </c>
      <c r="C245" s="1" t="s">
        <v>595</v>
      </c>
      <c r="D245" s="1" t="s">
        <v>638</v>
      </c>
      <c r="E245" s="1" t="s">
        <v>638</v>
      </c>
      <c r="F245" s="1" t="s">
        <v>638</v>
      </c>
    </row>
    <row r="246" spans="1:6">
      <c r="A246" s="22" t="s">
        <v>489</v>
      </c>
      <c r="B246" s="17" t="s">
        <v>490</v>
      </c>
      <c r="C246" s="1" t="s">
        <v>595</v>
      </c>
      <c r="D246" s="1" t="s">
        <v>638</v>
      </c>
      <c r="E246" s="1" t="s">
        <v>638</v>
      </c>
      <c r="F246" s="1" t="s">
        <v>638</v>
      </c>
    </row>
    <row r="247" spans="1:6">
      <c r="A247" s="23" t="s">
        <v>491</v>
      </c>
      <c r="B247" s="19" t="s">
        <v>492</v>
      </c>
      <c r="C247" s="1" t="s">
        <v>595</v>
      </c>
      <c r="D247" s="1" t="s">
        <v>638</v>
      </c>
      <c r="E247" s="1" t="s">
        <v>638</v>
      </c>
      <c r="F247" s="1" t="s">
        <v>638</v>
      </c>
    </row>
    <row r="248" spans="1:6">
      <c r="A248" s="22" t="s">
        <v>493</v>
      </c>
      <c r="B248" s="17" t="s">
        <v>494</v>
      </c>
      <c r="D248" s="1" t="s">
        <v>638</v>
      </c>
      <c r="E248" s="1" t="s">
        <v>638</v>
      </c>
      <c r="F248" s="1" t="s">
        <v>638</v>
      </c>
    </row>
    <row r="249" spans="1:6">
      <c r="A249" s="23" t="s">
        <v>495</v>
      </c>
      <c r="B249" s="19" t="s">
        <v>496</v>
      </c>
      <c r="C249" s="1" t="s">
        <v>595</v>
      </c>
      <c r="D249" s="1" t="s">
        <v>638</v>
      </c>
      <c r="E249" s="1" t="s">
        <v>638</v>
      </c>
      <c r="F249" s="1" t="s">
        <v>638</v>
      </c>
    </row>
    <row r="250" spans="1:6">
      <c r="A250" s="22" t="s">
        <v>497</v>
      </c>
      <c r="B250" s="17" t="s">
        <v>498</v>
      </c>
      <c r="C250" s="1" t="s">
        <v>711</v>
      </c>
      <c r="D250" s="1" t="s">
        <v>712</v>
      </c>
      <c r="E250" s="1" t="s">
        <v>638</v>
      </c>
      <c r="F250" s="1" t="s">
        <v>638</v>
      </c>
    </row>
    <row r="251" spans="1:6">
      <c r="A251" s="23" t="s">
        <v>499</v>
      </c>
      <c r="B251" s="19" t="s">
        <v>500</v>
      </c>
      <c r="C251" s="1" t="s">
        <v>595</v>
      </c>
      <c r="D251" s="1" t="s">
        <v>638</v>
      </c>
      <c r="E251" s="1" t="s">
        <v>638</v>
      </c>
      <c r="F251" s="1" t="s">
        <v>638</v>
      </c>
    </row>
    <row r="252" spans="1:6">
      <c r="A252" s="22" t="s">
        <v>501</v>
      </c>
      <c r="B252" s="1" t="s">
        <v>638</v>
      </c>
      <c r="C252" s="1" t="s">
        <v>638</v>
      </c>
      <c r="D252" s="1" t="s">
        <v>638</v>
      </c>
      <c r="E252" s="1" t="s">
        <v>638</v>
      </c>
      <c r="F252" s="1" t="s">
        <v>638</v>
      </c>
    </row>
    <row r="253" spans="1:6">
      <c r="A253" s="23" t="s">
        <v>502</v>
      </c>
      <c r="B253" s="19" t="s">
        <v>503</v>
      </c>
      <c r="C253" s="1" t="s">
        <v>595</v>
      </c>
      <c r="D253" s="1" t="s">
        <v>638</v>
      </c>
      <c r="E253" s="1" t="s">
        <v>638</v>
      </c>
      <c r="F253" s="1" t="s">
        <v>638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8C46-6273-4C26-B783-85B15DA43612}">
  <dimension ref="A1:B297"/>
  <sheetViews>
    <sheetView workbookViewId="0"/>
  </sheetViews>
  <sheetFormatPr defaultColWidth="64.5703125" defaultRowHeight="21.75" customHeight="1"/>
  <sheetData>
    <row r="1" spans="1:2" ht="21.75" customHeight="1">
      <c r="A1" s="14" t="s">
        <v>718</v>
      </c>
      <c r="B1" s="14" t="s">
        <v>719</v>
      </c>
    </row>
    <row r="2" spans="1:2" ht="21.75" customHeight="1">
      <c r="A2" s="14" t="s">
        <v>720</v>
      </c>
      <c r="B2" s="14" t="s">
        <v>721</v>
      </c>
    </row>
    <row r="3" spans="1:2" ht="21.75" customHeight="1">
      <c r="A3" s="14" t="s">
        <v>722</v>
      </c>
      <c r="B3" s="14" t="s">
        <v>228</v>
      </c>
    </row>
    <row r="4" spans="1:2" ht="21.75" customHeight="1">
      <c r="A4" s="14" t="s">
        <v>723</v>
      </c>
      <c r="B4" s="14" t="s">
        <v>228</v>
      </c>
    </row>
    <row r="5" spans="1:2" ht="21.75" customHeight="1">
      <c r="A5" s="14" t="s">
        <v>724</v>
      </c>
      <c r="B5" s="14" t="s">
        <v>228</v>
      </c>
    </row>
    <row r="6" spans="1:2" ht="21.75" customHeight="1">
      <c r="A6" s="15" t="s">
        <v>725</v>
      </c>
      <c r="B6" s="14" t="s">
        <v>721</v>
      </c>
    </row>
    <row r="7" spans="1:2" ht="21.75" customHeight="1">
      <c r="A7" s="14" t="s">
        <v>726</v>
      </c>
      <c r="B7" s="14" t="s">
        <v>318</v>
      </c>
    </row>
    <row r="8" spans="1:2" ht="21.75" customHeight="1">
      <c r="A8" s="14" t="s">
        <v>727</v>
      </c>
      <c r="B8" s="14" t="s">
        <v>721</v>
      </c>
    </row>
    <row r="9" spans="1:2" ht="21.75" customHeight="1">
      <c r="A9" s="14" t="s">
        <v>728</v>
      </c>
      <c r="B9" s="14" t="s">
        <v>721</v>
      </c>
    </row>
    <row r="10" spans="1:2" ht="21.75" customHeight="1">
      <c r="A10" s="14" t="s">
        <v>729</v>
      </c>
      <c r="B10" s="14" t="s">
        <v>721</v>
      </c>
    </row>
    <row r="11" spans="1:2" ht="21.75" customHeight="1">
      <c r="A11" s="14" t="s">
        <v>730</v>
      </c>
      <c r="B11" s="14" t="s">
        <v>320</v>
      </c>
    </row>
    <row r="12" spans="1:2" ht="21.75" customHeight="1">
      <c r="A12" s="14" t="s">
        <v>731</v>
      </c>
      <c r="B12" s="14" t="s">
        <v>320</v>
      </c>
    </row>
    <row r="13" spans="1:2" ht="21.75" customHeight="1">
      <c r="A13" s="14" t="s">
        <v>732</v>
      </c>
      <c r="B13" s="14" t="s">
        <v>320</v>
      </c>
    </row>
    <row r="14" spans="1:2" ht="21.75" customHeight="1">
      <c r="A14" s="14" t="s">
        <v>733</v>
      </c>
      <c r="B14" s="14" t="s">
        <v>721</v>
      </c>
    </row>
    <row r="15" spans="1:2" ht="21.75" customHeight="1">
      <c r="A15" s="14" t="s">
        <v>734</v>
      </c>
      <c r="B15" s="14" t="s">
        <v>721</v>
      </c>
    </row>
    <row r="16" spans="1:2" ht="21.75" customHeight="1">
      <c r="A16" s="14" t="s">
        <v>735</v>
      </c>
      <c r="B16" s="14" t="s">
        <v>721</v>
      </c>
    </row>
    <row r="17" spans="1:2" ht="21.75" customHeight="1">
      <c r="A17" s="14" t="s">
        <v>736</v>
      </c>
      <c r="B17" s="14" t="s">
        <v>721</v>
      </c>
    </row>
    <row r="18" spans="1:2" ht="21.75" customHeight="1">
      <c r="A18" s="14" t="s">
        <v>737</v>
      </c>
      <c r="B18" s="14" t="s">
        <v>316</v>
      </c>
    </row>
    <row r="19" spans="1:2" ht="21.75" customHeight="1">
      <c r="A19" s="14" t="s">
        <v>738</v>
      </c>
      <c r="B19" s="14" t="s">
        <v>316</v>
      </c>
    </row>
    <row r="20" spans="1:2" ht="21.75" customHeight="1">
      <c r="A20" s="14" t="s">
        <v>739</v>
      </c>
      <c r="B20" s="14" t="s">
        <v>721</v>
      </c>
    </row>
    <row r="21" spans="1:2" ht="21.75" customHeight="1">
      <c r="A21" s="14" t="s">
        <v>740</v>
      </c>
      <c r="B21" s="14" t="s">
        <v>721</v>
      </c>
    </row>
    <row r="22" spans="1:2" ht="21.75" customHeight="1">
      <c r="A22" s="14" t="s">
        <v>741</v>
      </c>
      <c r="B22" s="14" t="s">
        <v>721</v>
      </c>
    </row>
    <row r="23" spans="1:2" ht="21.75" customHeight="1">
      <c r="A23" s="14" t="s">
        <v>742</v>
      </c>
      <c r="B23" s="14" t="s">
        <v>396</v>
      </c>
    </row>
    <row r="24" spans="1:2" ht="21.75" customHeight="1">
      <c r="A24" s="14" t="s">
        <v>743</v>
      </c>
      <c r="B24" s="14" t="s">
        <v>396</v>
      </c>
    </row>
    <row r="25" spans="1:2" ht="21.75" customHeight="1">
      <c r="A25" s="14" t="s">
        <v>744</v>
      </c>
      <c r="B25" s="14" t="s">
        <v>721</v>
      </c>
    </row>
    <row r="26" spans="1:2" ht="21.75" customHeight="1">
      <c r="A26" s="14" t="s">
        <v>745</v>
      </c>
      <c r="B26" s="14" t="s">
        <v>721</v>
      </c>
    </row>
    <row r="27" spans="1:2" ht="21.75" customHeight="1">
      <c r="A27" s="14" t="s">
        <v>746</v>
      </c>
      <c r="B27" s="14" t="s">
        <v>721</v>
      </c>
    </row>
    <row r="28" spans="1:2" ht="21.75" customHeight="1">
      <c r="A28" s="14" t="s">
        <v>747</v>
      </c>
      <c r="B28" s="14" t="s">
        <v>721</v>
      </c>
    </row>
    <row r="29" spans="1:2" ht="21.75" customHeight="1">
      <c r="A29" s="14" t="s">
        <v>748</v>
      </c>
      <c r="B29" s="14" t="s">
        <v>721</v>
      </c>
    </row>
    <row r="30" spans="1:2" ht="21.75" customHeight="1">
      <c r="A30" s="14" t="s">
        <v>749</v>
      </c>
      <c r="B30" s="14" t="s">
        <v>366</v>
      </c>
    </row>
    <row r="31" spans="1:2" ht="21.75" customHeight="1">
      <c r="A31" s="14" t="s">
        <v>750</v>
      </c>
      <c r="B31" s="14" t="s">
        <v>366</v>
      </c>
    </row>
    <row r="32" spans="1:2" ht="21.75" customHeight="1">
      <c r="A32" s="14" t="s">
        <v>751</v>
      </c>
      <c r="B32" s="14" t="s">
        <v>366</v>
      </c>
    </row>
    <row r="33" spans="1:2" ht="21.75" customHeight="1">
      <c r="A33" s="14" t="s">
        <v>752</v>
      </c>
      <c r="B33" s="14" t="s">
        <v>366</v>
      </c>
    </row>
    <row r="34" spans="1:2" ht="21.75" customHeight="1">
      <c r="A34" s="14" t="s">
        <v>753</v>
      </c>
      <c r="B34" s="14" t="s">
        <v>721</v>
      </c>
    </row>
    <row r="35" spans="1:2" ht="21.75" customHeight="1">
      <c r="A35" s="14" t="s">
        <v>754</v>
      </c>
      <c r="B35" s="14" t="s">
        <v>721</v>
      </c>
    </row>
    <row r="36" spans="1:2" ht="21.75" customHeight="1">
      <c r="A36" s="14" t="s">
        <v>755</v>
      </c>
      <c r="B36" s="14" t="s">
        <v>721</v>
      </c>
    </row>
    <row r="37" spans="1:2" ht="21.75" customHeight="1">
      <c r="A37" s="14" t="s">
        <v>756</v>
      </c>
      <c r="B37" s="14" t="s">
        <v>721</v>
      </c>
    </row>
    <row r="38" spans="1:2" ht="21.75" customHeight="1">
      <c r="A38" s="14" t="s">
        <v>757</v>
      </c>
      <c r="B38" s="14" t="s">
        <v>721</v>
      </c>
    </row>
    <row r="39" spans="1:2" ht="21.75" customHeight="1">
      <c r="A39" s="14" t="s">
        <v>758</v>
      </c>
      <c r="B39" s="14" t="s">
        <v>188</v>
      </c>
    </row>
    <row r="40" spans="1:2" ht="21.75" customHeight="1">
      <c r="A40" s="14" t="s">
        <v>759</v>
      </c>
      <c r="B40" s="14" t="s">
        <v>188</v>
      </c>
    </row>
    <row r="41" spans="1:2" ht="21.75" customHeight="1">
      <c r="A41" s="14" t="s">
        <v>760</v>
      </c>
      <c r="B41" s="14" t="s">
        <v>188</v>
      </c>
    </row>
    <row r="42" spans="1:2" ht="21.75" customHeight="1">
      <c r="A42" s="14" t="s">
        <v>761</v>
      </c>
      <c r="B42" s="14" t="s">
        <v>188</v>
      </c>
    </row>
    <row r="43" spans="1:2" ht="21.75" customHeight="1">
      <c r="A43" s="14" t="s">
        <v>762</v>
      </c>
      <c r="B43" s="14" t="s">
        <v>188</v>
      </c>
    </row>
    <row r="44" spans="1:2" ht="21.75" customHeight="1">
      <c r="A44" s="14" t="s">
        <v>763</v>
      </c>
      <c r="B44" s="14" t="s">
        <v>188</v>
      </c>
    </row>
    <row r="45" spans="1:2" ht="21.75" customHeight="1">
      <c r="A45" s="14" t="s">
        <v>764</v>
      </c>
      <c r="B45" s="14" t="s">
        <v>188</v>
      </c>
    </row>
    <row r="46" spans="1:2" ht="21.75" customHeight="1">
      <c r="A46" s="14" t="s">
        <v>765</v>
      </c>
      <c r="B46" s="14" t="s">
        <v>721</v>
      </c>
    </row>
    <row r="47" spans="1:2" ht="21.75" customHeight="1">
      <c r="A47" s="14" t="s">
        <v>766</v>
      </c>
      <c r="B47" s="14" t="s">
        <v>721</v>
      </c>
    </row>
    <row r="48" spans="1:2" ht="21.75" customHeight="1">
      <c r="A48" s="14" t="s">
        <v>767</v>
      </c>
      <c r="B48" s="14" t="s">
        <v>721</v>
      </c>
    </row>
    <row r="49" spans="1:2" ht="21.75" customHeight="1">
      <c r="A49" s="14" t="s">
        <v>768</v>
      </c>
      <c r="B49" s="14" t="s">
        <v>721</v>
      </c>
    </row>
    <row r="50" spans="1:2" ht="21.75" customHeight="1">
      <c r="A50" s="14" t="s">
        <v>769</v>
      </c>
      <c r="B50" s="14" t="s">
        <v>721</v>
      </c>
    </row>
    <row r="51" spans="1:2" ht="21.75" customHeight="1">
      <c r="A51" s="14" t="s">
        <v>770</v>
      </c>
      <c r="B51" s="14" t="s">
        <v>721</v>
      </c>
    </row>
    <row r="52" spans="1:2" ht="21.75" customHeight="1">
      <c r="A52" s="14" t="s">
        <v>771</v>
      </c>
      <c r="B52" s="14" t="s">
        <v>721</v>
      </c>
    </row>
    <row r="53" spans="1:2" ht="21.75" customHeight="1">
      <c r="A53" s="14" t="s">
        <v>772</v>
      </c>
      <c r="B53" s="14" t="s">
        <v>721</v>
      </c>
    </row>
    <row r="54" spans="1:2" ht="21.75" customHeight="1">
      <c r="A54" s="14" t="s">
        <v>773</v>
      </c>
      <c r="B54" s="14" t="s">
        <v>721</v>
      </c>
    </row>
    <row r="55" spans="1:2" ht="21.75" customHeight="1">
      <c r="A55" s="14" t="s">
        <v>774</v>
      </c>
      <c r="B55" s="14" t="s">
        <v>721</v>
      </c>
    </row>
    <row r="56" spans="1:2" ht="21.75" customHeight="1">
      <c r="A56" s="14" t="s">
        <v>775</v>
      </c>
      <c r="B56" s="14" t="s">
        <v>721</v>
      </c>
    </row>
    <row r="57" spans="1:2" ht="21.75" customHeight="1">
      <c r="A57" s="14" t="s">
        <v>776</v>
      </c>
      <c r="B57" s="14" t="s">
        <v>721</v>
      </c>
    </row>
    <row r="58" spans="1:2" ht="21.75" customHeight="1">
      <c r="A58" s="14" t="s">
        <v>777</v>
      </c>
      <c r="B58" s="14" t="s">
        <v>721</v>
      </c>
    </row>
    <row r="59" spans="1:2" ht="21.75" customHeight="1">
      <c r="A59" s="14" t="s">
        <v>778</v>
      </c>
      <c r="B59" s="14" t="s">
        <v>721</v>
      </c>
    </row>
    <row r="60" spans="1:2" ht="21.75" customHeight="1">
      <c r="A60" s="14" t="s">
        <v>779</v>
      </c>
      <c r="B60" s="14" t="s">
        <v>721</v>
      </c>
    </row>
    <row r="61" spans="1:2" ht="21.75" customHeight="1">
      <c r="A61" s="14" t="s">
        <v>780</v>
      </c>
      <c r="B61" s="14" t="s">
        <v>721</v>
      </c>
    </row>
    <row r="62" spans="1:2" ht="21.75" customHeight="1">
      <c r="A62" s="14" t="s">
        <v>781</v>
      </c>
      <c r="B62" s="14" t="s">
        <v>721</v>
      </c>
    </row>
    <row r="63" spans="1:2" ht="21.75" customHeight="1">
      <c r="A63" s="15" t="s">
        <v>782</v>
      </c>
      <c r="B63" s="14" t="s">
        <v>721</v>
      </c>
    </row>
    <row r="64" spans="1:2" ht="21.75" customHeight="1">
      <c r="A64" s="15" t="s">
        <v>783</v>
      </c>
      <c r="B64" s="14" t="s">
        <v>721</v>
      </c>
    </row>
    <row r="65" spans="1:2" ht="21.75" customHeight="1">
      <c r="A65" s="15" t="s">
        <v>784</v>
      </c>
      <c r="B65" s="14" t="s">
        <v>721</v>
      </c>
    </row>
    <row r="66" spans="1:2" ht="21.75" customHeight="1">
      <c r="A66" s="14" t="s">
        <v>785</v>
      </c>
      <c r="B66" s="14" t="s">
        <v>721</v>
      </c>
    </row>
    <row r="67" spans="1:2" ht="21.75" customHeight="1">
      <c r="A67" s="14" t="s">
        <v>786</v>
      </c>
      <c r="B67" s="14" t="s">
        <v>721</v>
      </c>
    </row>
    <row r="68" spans="1:2" ht="21.75" customHeight="1">
      <c r="A68" s="14" t="s">
        <v>787</v>
      </c>
      <c r="B68" s="14" t="s">
        <v>721</v>
      </c>
    </row>
    <row r="69" spans="1:2" ht="21.75" customHeight="1">
      <c r="A69" s="14" t="s">
        <v>788</v>
      </c>
      <c r="B69" s="14" t="s">
        <v>721</v>
      </c>
    </row>
    <row r="70" spans="1:2" ht="21.75" customHeight="1">
      <c r="A70" s="14" t="s">
        <v>789</v>
      </c>
      <c r="B70" s="14" t="s">
        <v>721</v>
      </c>
    </row>
    <row r="71" spans="1:2" ht="21.75" customHeight="1">
      <c r="A71" s="14" t="s">
        <v>790</v>
      </c>
      <c r="B71" s="14" t="s">
        <v>721</v>
      </c>
    </row>
    <row r="72" spans="1:2" ht="21.75" customHeight="1">
      <c r="A72" s="15" t="s">
        <v>791</v>
      </c>
      <c r="B72" s="14" t="s">
        <v>721</v>
      </c>
    </row>
    <row r="73" spans="1:2" ht="21.75" customHeight="1">
      <c r="A73" s="15" t="s">
        <v>792</v>
      </c>
      <c r="B73" s="14" t="s">
        <v>721</v>
      </c>
    </row>
    <row r="74" spans="1:2" ht="21.75" customHeight="1">
      <c r="A74" s="14" t="s">
        <v>793</v>
      </c>
      <c r="B74" s="14" t="s">
        <v>721</v>
      </c>
    </row>
    <row r="75" spans="1:2" ht="21.75" customHeight="1">
      <c r="A75" s="14" t="s">
        <v>794</v>
      </c>
      <c r="B75" s="14" t="s">
        <v>298</v>
      </c>
    </row>
    <row r="76" spans="1:2" ht="21.75" customHeight="1">
      <c r="A76" s="14" t="s">
        <v>795</v>
      </c>
      <c r="B76" s="14" t="s">
        <v>298</v>
      </c>
    </row>
    <row r="77" spans="1:2" ht="21.75" customHeight="1">
      <c r="A77" s="14" t="s">
        <v>796</v>
      </c>
      <c r="B77" s="14" t="s">
        <v>298</v>
      </c>
    </row>
    <row r="78" spans="1:2" ht="21.75" customHeight="1">
      <c r="A78" s="14" t="s">
        <v>797</v>
      </c>
      <c r="B78" s="14" t="s">
        <v>298</v>
      </c>
    </row>
    <row r="79" spans="1:2" ht="21.75" customHeight="1">
      <c r="A79" s="14" t="s">
        <v>798</v>
      </c>
      <c r="B79" s="14" t="s">
        <v>721</v>
      </c>
    </row>
    <row r="80" spans="1:2" ht="21.75" customHeight="1">
      <c r="A80" s="14" t="s">
        <v>799</v>
      </c>
      <c r="B80" s="14" t="s">
        <v>300</v>
      </c>
    </row>
    <row r="81" spans="1:2" ht="21.75" customHeight="1">
      <c r="A81" s="14" t="s">
        <v>800</v>
      </c>
      <c r="B81" s="14" t="s">
        <v>300</v>
      </c>
    </row>
    <row r="82" spans="1:2" ht="21.75" customHeight="1">
      <c r="A82" s="14" t="s">
        <v>801</v>
      </c>
      <c r="B82" s="14" t="s">
        <v>300</v>
      </c>
    </row>
    <row r="83" spans="1:2" ht="21.75" customHeight="1">
      <c r="A83" s="14" t="s">
        <v>802</v>
      </c>
      <c r="B83" s="14" t="s">
        <v>300</v>
      </c>
    </row>
    <row r="84" spans="1:2" ht="21.75" customHeight="1">
      <c r="A84" s="14" t="s">
        <v>803</v>
      </c>
      <c r="B84" s="14" t="s">
        <v>721</v>
      </c>
    </row>
    <row r="85" spans="1:2" ht="21.75" customHeight="1">
      <c r="A85" s="14" t="s">
        <v>804</v>
      </c>
      <c r="B85" s="14" t="s">
        <v>300</v>
      </c>
    </row>
    <row r="86" spans="1:2" ht="21.75" customHeight="1">
      <c r="A86" s="14" t="s">
        <v>805</v>
      </c>
      <c r="B86" s="14" t="s">
        <v>300</v>
      </c>
    </row>
    <row r="87" spans="1:2" ht="21.75" customHeight="1">
      <c r="A87" s="14" t="s">
        <v>806</v>
      </c>
      <c r="B87" s="14" t="s">
        <v>302</v>
      </c>
    </row>
    <row r="88" spans="1:2" ht="21.75" customHeight="1">
      <c r="A88" s="14" t="s">
        <v>807</v>
      </c>
      <c r="B88" s="14" t="s">
        <v>302</v>
      </c>
    </row>
    <row r="89" spans="1:2" ht="21.75" customHeight="1">
      <c r="A89" s="14" t="s">
        <v>808</v>
      </c>
      <c r="B89" s="14" t="s">
        <v>302</v>
      </c>
    </row>
    <row r="90" spans="1:2" ht="21.75" customHeight="1">
      <c r="A90" s="14" t="s">
        <v>809</v>
      </c>
      <c r="B90" s="14" t="s">
        <v>302</v>
      </c>
    </row>
    <row r="91" spans="1:2" ht="21.75" customHeight="1">
      <c r="A91" s="14" t="s">
        <v>810</v>
      </c>
      <c r="B91" s="14" t="s">
        <v>302</v>
      </c>
    </row>
    <row r="92" spans="1:2" ht="21.75" customHeight="1">
      <c r="A92" s="14" t="s">
        <v>811</v>
      </c>
      <c r="B92" s="14" t="s">
        <v>721</v>
      </c>
    </row>
    <row r="93" spans="1:2" ht="21.75" customHeight="1">
      <c r="A93" s="14" t="s">
        <v>812</v>
      </c>
      <c r="B93" s="14" t="s">
        <v>721</v>
      </c>
    </row>
    <row r="94" spans="1:2" ht="21.75" customHeight="1">
      <c r="A94" s="14" t="s">
        <v>813</v>
      </c>
      <c r="B94" s="14" t="s">
        <v>721</v>
      </c>
    </row>
    <row r="95" spans="1:2" ht="21.75" customHeight="1">
      <c r="A95" s="14" t="s">
        <v>814</v>
      </c>
      <c r="B95" s="14" t="s">
        <v>721</v>
      </c>
    </row>
    <row r="96" spans="1:2" ht="21.75" customHeight="1">
      <c r="A96" s="14" t="s">
        <v>815</v>
      </c>
      <c r="B96" s="14" t="s">
        <v>721</v>
      </c>
    </row>
    <row r="97" spans="1:2" ht="21.75" customHeight="1">
      <c r="A97" s="14" t="s">
        <v>816</v>
      </c>
      <c r="B97" s="14" t="s">
        <v>721</v>
      </c>
    </row>
    <row r="98" spans="1:2" ht="21.75" customHeight="1">
      <c r="A98" s="14" t="s">
        <v>817</v>
      </c>
      <c r="B98" s="14" t="s">
        <v>721</v>
      </c>
    </row>
    <row r="99" spans="1:2" ht="21.75" customHeight="1">
      <c r="A99" s="14" t="s">
        <v>818</v>
      </c>
      <c r="B99" s="14" t="s">
        <v>721</v>
      </c>
    </row>
    <row r="100" spans="1:2" ht="21.75" customHeight="1">
      <c r="A100" s="14" t="s">
        <v>819</v>
      </c>
      <c r="B100" s="14" t="s">
        <v>721</v>
      </c>
    </row>
    <row r="101" spans="1:2" ht="21.75" customHeight="1">
      <c r="A101" s="14" t="s">
        <v>820</v>
      </c>
      <c r="B101" s="14" t="s">
        <v>721</v>
      </c>
    </row>
    <row r="102" spans="1:2" ht="21.75" customHeight="1">
      <c r="A102" s="14" t="s">
        <v>821</v>
      </c>
      <c r="B102" s="14" t="s">
        <v>721</v>
      </c>
    </row>
    <row r="103" spans="1:2" ht="21.75" customHeight="1">
      <c r="A103" s="14" t="s">
        <v>822</v>
      </c>
      <c r="B103" s="14" t="s">
        <v>721</v>
      </c>
    </row>
    <row r="104" spans="1:2" ht="21.75" customHeight="1">
      <c r="A104" s="14" t="s">
        <v>823</v>
      </c>
      <c r="B104" s="14" t="s">
        <v>721</v>
      </c>
    </row>
    <row r="105" spans="1:2" ht="21.75" customHeight="1">
      <c r="A105" s="14" t="s">
        <v>824</v>
      </c>
      <c r="B105" s="14" t="s">
        <v>721</v>
      </c>
    </row>
    <row r="106" spans="1:2" ht="21.75" customHeight="1">
      <c r="A106" s="14" t="s">
        <v>825</v>
      </c>
      <c r="B106" s="14" t="s">
        <v>721</v>
      </c>
    </row>
    <row r="107" spans="1:2" ht="21.75" customHeight="1">
      <c r="A107" s="14" t="s">
        <v>826</v>
      </c>
      <c r="B107" s="14" t="s">
        <v>721</v>
      </c>
    </row>
    <row r="108" spans="1:2" ht="21.75" customHeight="1">
      <c r="A108" s="14" t="s">
        <v>827</v>
      </c>
      <c r="B108" s="14" t="s">
        <v>721</v>
      </c>
    </row>
    <row r="109" spans="1:2" ht="21.75" customHeight="1">
      <c r="A109" s="14" t="s">
        <v>828</v>
      </c>
      <c r="B109" s="14" t="s">
        <v>721</v>
      </c>
    </row>
    <row r="110" spans="1:2" ht="21.75" customHeight="1">
      <c r="A110" s="14" t="s">
        <v>829</v>
      </c>
      <c r="B110" s="14" t="s">
        <v>721</v>
      </c>
    </row>
    <row r="111" spans="1:2" ht="21.75" customHeight="1">
      <c r="A111" s="14" t="s">
        <v>830</v>
      </c>
      <c r="B111" s="14" t="s">
        <v>721</v>
      </c>
    </row>
    <row r="112" spans="1:2" ht="21.75" customHeight="1">
      <c r="A112" s="14" t="s">
        <v>831</v>
      </c>
      <c r="B112" s="14" t="s">
        <v>721</v>
      </c>
    </row>
    <row r="113" spans="1:2" ht="21.75" customHeight="1">
      <c r="A113" s="14" t="s">
        <v>832</v>
      </c>
      <c r="B113" s="14" t="s">
        <v>721</v>
      </c>
    </row>
    <row r="114" spans="1:2" ht="21.75" customHeight="1">
      <c r="A114" s="14" t="s">
        <v>833</v>
      </c>
      <c r="B114" s="14" t="s">
        <v>721</v>
      </c>
    </row>
    <row r="115" spans="1:2" ht="21.75" customHeight="1">
      <c r="A115" s="14" t="s">
        <v>834</v>
      </c>
      <c r="B115" s="14" t="s">
        <v>721</v>
      </c>
    </row>
    <row r="116" spans="1:2" ht="21.75" customHeight="1">
      <c r="A116" s="14" t="s">
        <v>835</v>
      </c>
      <c r="B116" s="14" t="s">
        <v>721</v>
      </c>
    </row>
    <row r="117" spans="1:2" ht="21.75" customHeight="1">
      <c r="A117" s="14" t="s">
        <v>836</v>
      </c>
      <c r="B117" s="14" t="s">
        <v>721</v>
      </c>
    </row>
    <row r="118" spans="1:2" ht="21.75" customHeight="1">
      <c r="A118" s="14" t="s">
        <v>837</v>
      </c>
      <c r="B118" s="14" t="s">
        <v>721</v>
      </c>
    </row>
    <row r="119" spans="1:2" ht="21.75" customHeight="1">
      <c r="A119" s="14" t="s">
        <v>838</v>
      </c>
      <c r="B119" s="14" t="s">
        <v>721</v>
      </c>
    </row>
    <row r="120" spans="1:2" ht="21.75" customHeight="1">
      <c r="A120" s="14" t="s">
        <v>839</v>
      </c>
      <c r="B120" s="14" t="s">
        <v>721</v>
      </c>
    </row>
    <row r="121" spans="1:2" ht="21.75" customHeight="1">
      <c r="A121" s="14" t="s">
        <v>840</v>
      </c>
      <c r="B121" s="14" t="s">
        <v>721</v>
      </c>
    </row>
    <row r="122" spans="1:2" ht="21.75" customHeight="1">
      <c r="A122" s="14" t="s">
        <v>841</v>
      </c>
      <c r="B122" s="14" t="s">
        <v>721</v>
      </c>
    </row>
    <row r="123" spans="1:2" ht="21.75" customHeight="1">
      <c r="A123" s="14" t="s">
        <v>842</v>
      </c>
      <c r="B123" s="14" t="s">
        <v>11</v>
      </c>
    </row>
    <row r="124" spans="1:2" ht="21.75" customHeight="1">
      <c r="A124" s="14" t="s">
        <v>843</v>
      </c>
      <c r="B124" s="14" t="s">
        <v>11</v>
      </c>
    </row>
    <row r="125" spans="1:2" ht="21.75" customHeight="1">
      <c r="A125" s="14" t="s">
        <v>844</v>
      </c>
      <c r="B125" s="14" t="s">
        <v>11</v>
      </c>
    </row>
    <row r="126" spans="1:2" ht="21.75" customHeight="1">
      <c r="A126" s="14" t="s">
        <v>845</v>
      </c>
      <c r="B126" s="14" t="s">
        <v>11</v>
      </c>
    </row>
    <row r="127" spans="1:2" ht="21.75" customHeight="1">
      <c r="A127" s="14" t="s">
        <v>846</v>
      </c>
      <c r="B127" s="14" t="s">
        <v>11</v>
      </c>
    </row>
    <row r="128" spans="1:2" ht="21.75" customHeight="1">
      <c r="A128" s="14" t="s">
        <v>847</v>
      </c>
      <c r="B128" s="14" t="s">
        <v>11</v>
      </c>
    </row>
    <row r="129" spans="1:2" ht="21.75" customHeight="1">
      <c r="A129" s="14" t="s">
        <v>848</v>
      </c>
      <c r="B129" s="14" t="s">
        <v>11</v>
      </c>
    </row>
    <row r="130" spans="1:2" ht="21.75" customHeight="1">
      <c r="A130" s="14" t="s">
        <v>849</v>
      </c>
      <c r="B130" s="14" t="s">
        <v>721</v>
      </c>
    </row>
    <row r="131" spans="1:2" ht="21.75" customHeight="1">
      <c r="A131" s="14" t="s">
        <v>850</v>
      </c>
      <c r="B131" s="14" t="s">
        <v>721</v>
      </c>
    </row>
    <row r="132" spans="1:2" ht="21.75" customHeight="1">
      <c r="A132" s="14" t="s">
        <v>851</v>
      </c>
      <c r="B132" s="14" t="s">
        <v>11</v>
      </c>
    </row>
    <row r="133" spans="1:2" ht="21.75" customHeight="1">
      <c r="A133" s="14" t="s">
        <v>852</v>
      </c>
      <c r="B133" s="14" t="s">
        <v>11</v>
      </c>
    </row>
    <row r="134" spans="1:2" ht="21.75" customHeight="1">
      <c r="A134" s="14" t="s">
        <v>853</v>
      </c>
      <c r="B134" s="14" t="s">
        <v>7</v>
      </c>
    </row>
    <row r="135" spans="1:2" ht="21.75" customHeight="1">
      <c r="A135" s="14" t="s">
        <v>854</v>
      </c>
      <c r="B135" s="14" t="s">
        <v>7</v>
      </c>
    </row>
    <row r="136" spans="1:2" ht="21.75" customHeight="1">
      <c r="A136" s="14" t="s">
        <v>855</v>
      </c>
      <c r="B136" s="14" t="s">
        <v>7</v>
      </c>
    </row>
    <row r="137" spans="1:2" ht="21.75" customHeight="1">
      <c r="A137" s="14" t="s">
        <v>856</v>
      </c>
      <c r="B137" s="14" t="s">
        <v>7</v>
      </c>
    </row>
    <row r="138" spans="1:2" ht="21.75" customHeight="1">
      <c r="A138" s="14" t="s">
        <v>857</v>
      </c>
      <c r="B138" s="14" t="s">
        <v>7</v>
      </c>
    </row>
    <row r="139" spans="1:2" ht="21.75" customHeight="1">
      <c r="A139" s="14" t="s">
        <v>858</v>
      </c>
      <c r="B139" s="14" t="s">
        <v>721</v>
      </c>
    </row>
    <row r="140" spans="1:2" ht="21.75" customHeight="1">
      <c r="A140" s="14" t="s">
        <v>859</v>
      </c>
      <c r="B140" s="14" t="s">
        <v>7</v>
      </c>
    </row>
    <row r="141" spans="1:2" ht="21.75" customHeight="1">
      <c r="A141" s="14" t="s">
        <v>860</v>
      </c>
      <c r="B141" s="14" t="s">
        <v>212</v>
      </c>
    </row>
    <row r="142" spans="1:2" ht="21.75" customHeight="1">
      <c r="A142" s="14" t="s">
        <v>861</v>
      </c>
      <c r="B142" s="14" t="s">
        <v>85</v>
      </c>
    </row>
    <row r="143" spans="1:2" ht="21.75" customHeight="1">
      <c r="A143" s="14" t="s">
        <v>862</v>
      </c>
      <c r="B143" s="14" t="s">
        <v>721</v>
      </c>
    </row>
    <row r="144" spans="1:2" ht="21.75" customHeight="1">
      <c r="A144" s="14" t="s">
        <v>863</v>
      </c>
      <c r="B144" s="14" t="s">
        <v>721</v>
      </c>
    </row>
    <row r="145" spans="1:2" ht="21.75" customHeight="1">
      <c r="A145" s="14" t="s">
        <v>864</v>
      </c>
      <c r="B145" s="14" t="s">
        <v>721</v>
      </c>
    </row>
    <row r="146" spans="1:2" ht="21.75" customHeight="1">
      <c r="A146" s="14" t="s">
        <v>865</v>
      </c>
      <c r="B146" s="14" t="s">
        <v>721</v>
      </c>
    </row>
    <row r="147" spans="1:2" ht="21.75" customHeight="1">
      <c r="A147" s="14" t="s">
        <v>866</v>
      </c>
      <c r="B147" s="14" t="s">
        <v>3</v>
      </c>
    </row>
    <row r="148" spans="1:2" ht="21.75" customHeight="1">
      <c r="A148" s="14" t="s">
        <v>867</v>
      </c>
      <c r="B148" s="14" t="s">
        <v>3</v>
      </c>
    </row>
    <row r="149" spans="1:2" ht="21.75" customHeight="1">
      <c r="A149" s="14" t="s">
        <v>868</v>
      </c>
      <c r="B149" s="14" t="s">
        <v>3</v>
      </c>
    </row>
    <row r="150" spans="1:2" ht="21.75" customHeight="1">
      <c r="A150" s="14" t="s">
        <v>869</v>
      </c>
      <c r="B150" s="14" t="s">
        <v>3</v>
      </c>
    </row>
    <row r="151" spans="1:2" ht="21.75" customHeight="1">
      <c r="A151" s="14" t="s">
        <v>870</v>
      </c>
      <c r="B151" s="14" t="s">
        <v>3</v>
      </c>
    </row>
    <row r="152" spans="1:2" ht="21.75" customHeight="1">
      <c r="A152" s="14" t="s">
        <v>871</v>
      </c>
      <c r="B152" s="14" t="s">
        <v>721</v>
      </c>
    </row>
    <row r="153" spans="1:2" ht="21.75" customHeight="1">
      <c r="A153" s="14" t="s">
        <v>872</v>
      </c>
      <c r="B153" s="14" t="s">
        <v>721</v>
      </c>
    </row>
    <row r="154" spans="1:2" ht="21.75" customHeight="1">
      <c r="A154" s="14" t="s">
        <v>873</v>
      </c>
      <c r="B154" s="14" t="s">
        <v>9</v>
      </c>
    </row>
    <row r="155" spans="1:2" ht="21.75" customHeight="1">
      <c r="A155" s="14" t="s">
        <v>874</v>
      </c>
      <c r="B155" s="14" t="s">
        <v>9</v>
      </c>
    </row>
    <row r="156" spans="1:2" ht="21.75" customHeight="1">
      <c r="A156" s="14" t="s">
        <v>875</v>
      </c>
      <c r="B156" s="14" t="s">
        <v>9</v>
      </c>
    </row>
    <row r="157" spans="1:2" ht="21.75" customHeight="1">
      <c r="A157" s="14" t="s">
        <v>876</v>
      </c>
      <c r="B157" s="14" t="s">
        <v>9</v>
      </c>
    </row>
    <row r="158" spans="1:2" ht="21.75" customHeight="1">
      <c r="A158" s="14" t="s">
        <v>877</v>
      </c>
      <c r="B158" s="14" t="s">
        <v>9</v>
      </c>
    </row>
    <row r="159" spans="1:2" ht="21.75" customHeight="1">
      <c r="A159" s="14" t="s">
        <v>878</v>
      </c>
      <c r="B159" s="14" t="s">
        <v>9</v>
      </c>
    </row>
    <row r="160" spans="1:2" ht="21.75" customHeight="1">
      <c r="A160" s="14" t="s">
        <v>879</v>
      </c>
      <c r="B160" s="14" t="s">
        <v>9</v>
      </c>
    </row>
    <row r="161" spans="1:2" ht="21.75" customHeight="1">
      <c r="A161" s="14" t="s">
        <v>880</v>
      </c>
      <c r="B161" s="14" t="s">
        <v>721</v>
      </c>
    </row>
    <row r="162" spans="1:2" ht="21.75" customHeight="1">
      <c r="A162" s="14" t="s">
        <v>881</v>
      </c>
      <c r="B162" s="14" t="s">
        <v>9</v>
      </c>
    </row>
    <row r="163" spans="1:2" ht="21.75" customHeight="1">
      <c r="A163" s="14" t="s">
        <v>882</v>
      </c>
      <c r="B163" s="14" t="s">
        <v>13</v>
      </c>
    </row>
    <row r="164" spans="1:2" ht="21.75" customHeight="1">
      <c r="A164" s="14" t="s">
        <v>883</v>
      </c>
      <c r="B164" s="14" t="s">
        <v>13</v>
      </c>
    </row>
    <row r="165" spans="1:2" ht="21.75" customHeight="1">
      <c r="A165" s="14" t="s">
        <v>884</v>
      </c>
      <c r="B165" s="14" t="s">
        <v>13</v>
      </c>
    </row>
    <row r="166" spans="1:2" ht="21.75" customHeight="1">
      <c r="A166" s="14" t="s">
        <v>885</v>
      </c>
      <c r="B166" s="14" t="s">
        <v>13</v>
      </c>
    </row>
    <row r="167" spans="1:2" ht="21.75" customHeight="1">
      <c r="A167" s="14" t="s">
        <v>886</v>
      </c>
      <c r="B167" s="14" t="s">
        <v>13</v>
      </c>
    </row>
    <row r="168" spans="1:2" ht="21.75" customHeight="1">
      <c r="A168" s="14" t="s">
        <v>887</v>
      </c>
      <c r="B168" s="14" t="s">
        <v>13</v>
      </c>
    </row>
    <row r="169" spans="1:2" ht="21.75" customHeight="1">
      <c r="A169" s="14" t="s">
        <v>888</v>
      </c>
      <c r="B169" s="14" t="s">
        <v>13</v>
      </c>
    </row>
    <row r="170" spans="1:2" ht="21.75" customHeight="1">
      <c r="A170" s="14" t="s">
        <v>889</v>
      </c>
      <c r="B170" s="14" t="s">
        <v>721</v>
      </c>
    </row>
    <row r="171" spans="1:2" ht="21.75" customHeight="1">
      <c r="A171" s="14" t="s">
        <v>890</v>
      </c>
      <c r="B171" s="14" t="s">
        <v>721</v>
      </c>
    </row>
    <row r="172" spans="1:2" ht="21.75" customHeight="1">
      <c r="A172" s="14" t="s">
        <v>891</v>
      </c>
      <c r="B172" s="14" t="s">
        <v>721</v>
      </c>
    </row>
    <row r="173" spans="1:2" ht="21.75" customHeight="1">
      <c r="A173" s="14" t="s">
        <v>892</v>
      </c>
      <c r="B173" s="14" t="s">
        <v>15</v>
      </c>
    </row>
    <row r="174" spans="1:2" ht="21.75" customHeight="1">
      <c r="A174" s="14" t="s">
        <v>893</v>
      </c>
      <c r="B174" s="14" t="s">
        <v>15</v>
      </c>
    </row>
    <row r="175" spans="1:2" ht="21.75" customHeight="1">
      <c r="A175" s="14" t="s">
        <v>894</v>
      </c>
      <c r="B175" s="14" t="s">
        <v>15</v>
      </c>
    </row>
    <row r="176" spans="1:2" ht="21.75" customHeight="1">
      <c r="A176" s="14" t="s">
        <v>895</v>
      </c>
      <c r="B176" s="14" t="s">
        <v>15</v>
      </c>
    </row>
    <row r="177" spans="1:2" ht="21.75" customHeight="1">
      <c r="A177" s="14" t="s">
        <v>896</v>
      </c>
      <c r="B177" s="14" t="s">
        <v>15</v>
      </c>
    </row>
    <row r="178" spans="1:2" ht="21.75" customHeight="1">
      <c r="A178" s="14" t="s">
        <v>897</v>
      </c>
      <c r="B178" s="14" t="s">
        <v>15</v>
      </c>
    </row>
    <row r="179" spans="1:2" ht="21.75" customHeight="1">
      <c r="A179" s="14" t="s">
        <v>898</v>
      </c>
      <c r="B179" s="14" t="s">
        <v>15</v>
      </c>
    </row>
    <row r="180" spans="1:2" ht="21.75" customHeight="1">
      <c r="A180" s="14" t="s">
        <v>899</v>
      </c>
      <c r="B180" s="14" t="s">
        <v>15</v>
      </c>
    </row>
    <row r="181" spans="1:2" ht="21.75" customHeight="1">
      <c r="A181" s="14" t="s">
        <v>900</v>
      </c>
      <c r="B181" s="14" t="s">
        <v>15</v>
      </c>
    </row>
    <row r="182" spans="1:2" ht="21.75" customHeight="1">
      <c r="A182" s="14" t="s">
        <v>901</v>
      </c>
      <c r="B182" s="14" t="s">
        <v>15</v>
      </c>
    </row>
    <row r="183" spans="1:2" ht="21.75" customHeight="1">
      <c r="A183" s="14" t="s">
        <v>902</v>
      </c>
      <c r="B183" s="14" t="s">
        <v>721</v>
      </c>
    </row>
    <row r="184" spans="1:2" ht="21.75" customHeight="1">
      <c r="A184" s="14" t="s">
        <v>903</v>
      </c>
      <c r="B184" s="14" t="s">
        <v>721</v>
      </c>
    </row>
    <row r="185" spans="1:2" ht="21.75" customHeight="1">
      <c r="A185" s="14" t="s">
        <v>904</v>
      </c>
      <c r="B185" s="14" t="s">
        <v>15</v>
      </c>
    </row>
    <row r="186" spans="1:2" ht="21.75" customHeight="1">
      <c r="A186" s="14" t="s">
        <v>905</v>
      </c>
      <c r="B186" s="14" t="s">
        <v>15</v>
      </c>
    </row>
    <row r="187" spans="1:2" ht="21.75" customHeight="1">
      <c r="A187" s="14" t="s">
        <v>906</v>
      </c>
      <c r="B187" s="14" t="s">
        <v>33</v>
      </c>
    </row>
    <row r="188" spans="1:2" ht="21.75" customHeight="1">
      <c r="A188" s="14" t="s">
        <v>907</v>
      </c>
      <c r="B188" s="14" t="s">
        <v>33</v>
      </c>
    </row>
    <row r="189" spans="1:2" ht="21.75" customHeight="1">
      <c r="A189" s="14" t="s">
        <v>908</v>
      </c>
      <c r="B189" s="14" t="s">
        <v>33</v>
      </c>
    </row>
    <row r="190" spans="1:2" ht="21.75" customHeight="1">
      <c r="A190" s="14" t="s">
        <v>909</v>
      </c>
      <c r="B190" s="14" t="s">
        <v>33</v>
      </c>
    </row>
    <row r="191" spans="1:2" ht="21.75" customHeight="1">
      <c r="A191" s="14" t="s">
        <v>910</v>
      </c>
      <c r="B191" s="14" t="s">
        <v>33</v>
      </c>
    </row>
    <row r="192" spans="1:2" ht="21.75" customHeight="1">
      <c r="A192" s="14" t="s">
        <v>911</v>
      </c>
      <c r="B192" s="14" t="s">
        <v>35</v>
      </c>
    </row>
    <row r="193" spans="1:2" ht="21.75" customHeight="1">
      <c r="A193" s="14" t="s">
        <v>912</v>
      </c>
      <c r="B193" s="14" t="s">
        <v>35</v>
      </c>
    </row>
    <row r="194" spans="1:2" ht="21.75" customHeight="1">
      <c r="A194" s="14" t="s">
        <v>913</v>
      </c>
      <c r="B194" s="14" t="s">
        <v>31</v>
      </c>
    </row>
    <row r="195" spans="1:2" ht="21.75" customHeight="1">
      <c r="A195" s="14" t="s">
        <v>914</v>
      </c>
      <c r="B195" s="14" t="s">
        <v>31</v>
      </c>
    </row>
    <row r="196" spans="1:2" ht="21.75" customHeight="1">
      <c r="A196" s="14" t="s">
        <v>915</v>
      </c>
      <c r="B196" s="14" t="s">
        <v>31</v>
      </c>
    </row>
    <row r="197" spans="1:2" ht="21.75" customHeight="1">
      <c r="A197" s="14" t="s">
        <v>916</v>
      </c>
      <c r="B197" s="14" t="s">
        <v>31</v>
      </c>
    </row>
    <row r="198" spans="1:2" ht="21.75" customHeight="1">
      <c r="A198" s="14" t="s">
        <v>917</v>
      </c>
      <c r="B198" s="14" t="s">
        <v>31</v>
      </c>
    </row>
    <row r="199" spans="1:2" ht="21.75" customHeight="1">
      <c r="A199" s="14" t="s">
        <v>918</v>
      </c>
      <c r="B199" s="14" t="s">
        <v>31</v>
      </c>
    </row>
    <row r="200" spans="1:2" ht="21.75" customHeight="1">
      <c r="A200" s="14" t="s">
        <v>919</v>
      </c>
      <c r="B200" s="14" t="s">
        <v>31</v>
      </c>
    </row>
    <row r="201" spans="1:2" ht="21.75" customHeight="1">
      <c r="A201" s="14" t="s">
        <v>920</v>
      </c>
      <c r="B201" s="14" t="s">
        <v>721</v>
      </c>
    </row>
    <row r="202" spans="1:2" ht="21.75" customHeight="1">
      <c r="A202" s="14" t="s">
        <v>921</v>
      </c>
      <c r="B202" s="14" t="s">
        <v>31</v>
      </c>
    </row>
    <row r="203" spans="1:2" ht="21.75" customHeight="1">
      <c r="A203" s="14" t="s">
        <v>922</v>
      </c>
      <c r="B203" s="14" t="s">
        <v>721</v>
      </c>
    </row>
    <row r="204" spans="1:2" ht="21.75" customHeight="1">
      <c r="A204" s="14" t="s">
        <v>923</v>
      </c>
      <c r="B204" s="14" t="s">
        <v>721</v>
      </c>
    </row>
    <row r="205" spans="1:2" ht="21.75" customHeight="1">
      <c r="A205" s="14" t="s">
        <v>924</v>
      </c>
      <c r="B205" s="14" t="s">
        <v>37</v>
      </c>
    </row>
    <row r="206" spans="1:2" ht="21.75" customHeight="1">
      <c r="A206" s="14" t="s">
        <v>925</v>
      </c>
      <c r="B206" s="14" t="s">
        <v>35</v>
      </c>
    </row>
    <row r="207" spans="1:2" ht="21.75" customHeight="1">
      <c r="A207" s="14" t="s">
        <v>926</v>
      </c>
      <c r="B207" s="14" t="s">
        <v>31</v>
      </c>
    </row>
    <row r="208" spans="1:2" ht="21.75" customHeight="1">
      <c r="A208" s="14" t="s">
        <v>927</v>
      </c>
      <c r="B208" s="14" t="s">
        <v>31</v>
      </c>
    </row>
    <row r="209" spans="1:2" ht="21.75" customHeight="1">
      <c r="A209" s="14" t="s">
        <v>928</v>
      </c>
      <c r="B209" s="14" t="s">
        <v>35</v>
      </c>
    </row>
    <row r="210" spans="1:2" ht="21.75" customHeight="1">
      <c r="A210" s="14" t="s">
        <v>929</v>
      </c>
      <c r="B210" s="14" t="s">
        <v>35</v>
      </c>
    </row>
    <row r="211" spans="1:2" ht="21.75" customHeight="1">
      <c r="A211" s="14" t="s">
        <v>930</v>
      </c>
      <c r="B211" s="14" t="s">
        <v>35</v>
      </c>
    </row>
    <row r="212" spans="1:2" ht="21.75" customHeight="1">
      <c r="A212" s="14" t="s">
        <v>931</v>
      </c>
      <c r="B212" s="14" t="s">
        <v>35</v>
      </c>
    </row>
    <row r="213" spans="1:2" ht="21.75" customHeight="1">
      <c r="A213" s="14" t="s">
        <v>932</v>
      </c>
      <c r="B213" s="14" t="s">
        <v>35</v>
      </c>
    </row>
    <row r="214" spans="1:2" ht="21.75" customHeight="1">
      <c r="A214" s="14" t="s">
        <v>933</v>
      </c>
      <c r="B214" s="14" t="s">
        <v>35</v>
      </c>
    </row>
    <row r="215" spans="1:2" ht="21.75" customHeight="1">
      <c r="A215" s="14" t="s">
        <v>934</v>
      </c>
      <c r="B215" s="14" t="s">
        <v>37</v>
      </c>
    </row>
    <row r="216" spans="1:2" ht="21.75" customHeight="1">
      <c r="A216" s="14" t="s">
        <v>935</v>
      </c>
      <c r="B216" s="14" t="s">
        <v>41</v>
      </c>
    </row>
    <row r="217" spans="1:2" ht="21.75" customHeight="1">
      <c r="A217" s="14" t="s">
        <v>936</v>
      </c>
      <c r="B217" s="14" t="s">
        <v>31</v>
      </c>
    </row>
    <row r="218" spans="1:2" ht="21.75" customHeight="1">
      <c r="A218" s="14" t="s">
        <v>937</v>
      </c>
      <c r="B218" s="14" t="s">
        <v>31</v>
      </c>
    </row>
    <row r="219" spans="1:2" ht="21.75" customHeight="1">
      <c r="A219" s="14" t="s">
        <v>938</v>
      </c>
      <c r="B219" s="14" t="s">
        <v>29</v>
      </c>
    </row>
    <row r="220" spans="1:2" ht="21.75" customHeight="1">
      <c r="A220" s="14" t="s">
        <v>939</v>
      </c>
      <c r="B220" s="14" t="s">
        <v>29</v>
      </c>
    </row>
    <row r="221" spans="1:2" ht="21.75" customHeight="1">
      <c r="A221" s="14" t="s">
        <v>940</v>
      </c>
      <c r="B221" s="14" t="s">
        <v>29</v>
      </c>
    </row>
    <row r="222" spans="1:2" ht="21.75" customHeight="1">
      <c r="A222" s="14" t="s">
        <v>941</v>
      </c>
      <c r="B222" s="14" t="s">
        <v>29</v>
      </c>
    </row>
    <row r="223" spans="1:2" ht="21.75" customHeight="1">
      <c r="A223" s="14" t="s">
        <v>942</v>
      </c>
      <c r="B223" s="14" t="s">
        <v>27</v>
      </c>
    </row>
    <row r="224" spans="1:2" ht="21.75" customHeight="1">
      <c r="A224" s="14" t="s">
        <v>943</v>
      </c>
      <c r="B224" s="14" t="s">
        <v>27</v>
      </c>
    </row>
    <row r="225" spans="1:2" ht="21.75" customHeight="1">
      <c r="A225" s="14" t="s">
        <v>944</v>
      </c>
      <c r="B225" s="14" t="s">
        <v>27</v>
      </c>
    </row>
    <row r="226" spans="1:2" ht="21.75" customHeight="1">
      <c r="A226" s="14" t="s">
        <v>945</v>
      </c>
      <c r="B226" s="14" t="s">
        <v>27</v>
      </c>
    </row>
    <row r="227" spans="1:2" ht="21.75" customHeight="1">
      <c r="A227" s="14" t="s">
        <v>946</v>
      </c>
      <c r="B227" s="14" t="s">
        <v>27</v>
      </c>
    </row>
    <row r="228" spans="1:2" ht="21.75" customHeight="1">
      <c r="A228" s="14" t="s">
        <v>947</v>
      </c>
      <c r="B228" s="14" t="s">
        <v>27</v>
      </c>
    </row>
    <row r="229" spans="1:2" ht="21.75" customHeight="1">
      <c r="A229" s="14" t="s">
        <v>948</v>
      </c>
      <c r="B229" s="14" t="s">
        <v>27</v>
      </c>
    </row>
    <row r="230" spans="1:2" ht="21.75" customHeight="1">
      <c r="A230" s="14" t="s">
        <v>949</v>
      </c>
      <c r="B230" s="14" t="s">
        <v>27</v>
      </c>
    </row>
    <row r="231" spans="1:2" ht="21.75" customHeight="1">
      <c r="A231" s="14" t="s">
        <v>950</v>
      </c>
      <c r="B231" s="14" t="s">
        <v>27</v>
      </c>
    </row>
    <row r="232" spans="1:2" ht="21.75" customHeight="1">
      <c r="A232" s="14" t="s">
        <v>951</v>
      </c>
      <c r="B232" s="14" t="s">
        <v>27</v>
      </c>
    </row>
    <row r="233" spans="1:2" ht="21.75" customHeight="1">
      <c r="A233" s="14" t="s">
        <v>952</v>
      </c>
      <c r="B233" s="14" t="s">
        <v>27</v>
      </c>
    </row>
    <row r="234" spans="1:2" ht="21.75" customHeight="1">
      <c r="A234" s="14" t="s">
        <v>953</v>
      </c>
      <c r="B234" s="14" t="s">
        <v>27</v>
      </c>
    </row>
    <row r="235" spans="1:2" ht="21.75" customHeight="1">
      <c r="A235" s="14" t="s">
        <v>954</v>
      </c>
      <c r="B235" s="14" t="s">
        <v>721</v>
      </c>
    </row>
    <row r="236" spans="1:2" ht="21.75" customHeight="1">
      <c r="A236" s="15" t="s">
        <v>955</v>
      </c>
      <c r="B236" s="14" t="s">
        <v>25</v>
      </c>
    </row>
    <row r="237" spans="1:2" ht="21.75" customHeight="1">
      <c r="A237" s="14" t="s">
        <v>956</v>
      </c>
      <c r="B237" s="14" t="s">
        <v>25</v>
      </c>
    </row>
    <row r="238" spans="1:2" ht="21.75" customHeight="1">
      <c r="A238" s="14" t="s">
        <v>957</v>
      </c>
      <c r="B238" s="14" t="s">
        <v>25</v>
      </c>
    </row>
    <row r="239" spans="1:2" ht="21.75" customHeight="1">
      <c r="A239" s="14" t="s">
        <v>958</v>
      </c>
      <c r="B239" s="14" t="s">
        <v>25</v>
      </c>
    </row>
    <row r="240" spans="1:2" ht="21.75" customHeight="1">
      <c r="A240" s="14" t="s">
        <v>959</v>
      </c>
      <c r="B240" s="14" t="s">
        <v>25</v>
      </c>
    </row>
    <row r="241" spans="1:2" ht="21.75" customHeight="1">
      <c r="A241" s="14" t="s">
        <v>960</v>
      </c>
      <c r="B241" s="14" t="s">
        <v>25</v>
      </c>
    </row>
    <row r="242" spans="1:2" ht="21.75" customHeight="1">
      <c r="A242" s="14" t="s">
        <v>961</v>
      </c>
      <c r="B242" s="14" t="s">
        <v>25</v>
      </c>
    </row>
    <row r="243" spans="1:2" ht="21.75" customHeight="1">
      <c r="A243" s="14" t="s">
        <v>962</v>
      </c>
      <c r="B243" s="14" t="s">
        <v>25</v>
      </c>
    </row>
    <row r="244" spans="1:2" ht="21.75" customHeight="1">
      <c r="A244" s="14" t="s">
        <v>963</v>
      </c>
      <c r="B244" s="14" t="s">
        <v>25</v>
      </c>
    </row>
    <row r="245" spans="1:2" ht="21.75" customHeight="1">
      <c r="A245" s="14" t="s">
        <v>964</v>
      </c>
      <c r="B245" s="14" t="s">
        <v>25</v>
      </c>
    </row>
    <row r="246" spans="1:2" ht="21.75" customHeight="1">
      <c r="A246" s="14" t="s">
        <v>965</v>
      </c>
      <c r="B246" s="14" t="s">
        <v>25</v>
      </c>
    </row>
    <row r="247" spans="1:2" ht="21.75" customHeight="1">
      <c r="A247" s="14" t="s">
        <v>966</v>
      </c>
      <c r="B247" s="14" t="s">
        <v>25</v>
      </c>
    </row>
    <row r="248" spans="1:2" ht="21.75" customHeight="1">
      <c r="A248" s="14" t="s">
        <v>967</v>
      </c>
      <c r="B248" s="14" t="s">
        <v>25</v>
      </c>
    </row>
    <row r="249" spans="1:2" ht="21.75" customHeight="1">
      <c r="A249" s="14" t="s">
        <v>968</v>
      </c>
      <c r="B249" s="14" t="s">
        <v>25</v>
      </c>
    </row>
    <row r="250" spans="1:2" ht="21.75" customHeight="1">
      <c r="A250" s="14" t="s">
        <v>969</v>
      </c>
      <c r="B250" s="14" t="s">
        <v>25</v>
      </c>
    </row>
    <row r="251" spans="1:2" ht="21.75" customHeight="1">
      <c r="A251" s="14" t="s">
        <v>970</v>
      </c>
      <c r="B251" s="14" t="s">
        <v>206</v>
      </c>
    </row>
    <row r="252" spans="1:2" ht="21.75" customHeight="1">
      <c r="A252" s="14" t="s">
        <v>971</v>
      </c>
      <c r="B252" s="14" t="s">
        <v>17</v>
      </c>
    </row>
    <row r="253" spans="1:2" ht="21.75" customHeight="1">
      <c r="A253" s="14" t="s">
        <v>972</v>
      </c>
      <c r="B253" s="14" t="s">
        <v>17</v>
      </c>
    </row>
    <row r="254" spans="1:2" ht="21.75" customHeight="1">
      <c r="A254" s="14" t="s">
        <v>973</v>
      </c>
      <c r="B254" s="14" t="s">
        <v>17</v>
      </c>
    </row>
    <row r="255" spans="1:2" ht="21.75" customHeight="1">
      <c r="A255" s="14" t="s">
        <v>974</v>
      </c>
      <c r="B255" s="14" t="s">
        <v>17</v>
      </c>
    </row>
    <row r="256" spans="1:2" ht="21.75" customHeight="1">
      <c r="A256" s="14" t="s">
        <v>975</v>
      </c>
      <c r="B256" s="14" t="s">
        <v>17</v>
      </c>
    </row>
    <row r="257" spans="1:2" ht="21.75" customHeight="1">
      <c r="A257" s="14" t="s">
        <v>976</v>
      </c>
      <c r="B257" s="14" t="s">
        <v>17</v>
      </c>
    </row>
    <row r="258" spans="1:2" ht="21.75" customHeight="1">
      <c r="A258" s="14" t="s">
        <v>977</v>
      </c>
      <c r="B258" s="14" t="s">
        <v>17</v>
      </c>
    </row>
    <row r="259" spans="1:2" ht="21.75" customHeight="1">
      <c r="A259" s="14" t="s">
        <v>978</v>
      </c>
      <c r="B259" s="14" t="s">
        <v>17</v>
      </c>
    </row>
    <row r="260" spans="1:2" ht="21.75" customHeight="1">
      <c r="A260" s="14" t="s">
        <v>979</v>
      </c>
      <c r="B260" s="14" t="s">
        <v>17</v>
      </c>
    </row>
    <row r="261" spans="1:2" ht="21.75" customHeight="1">
      <c r="A261" s="14" t="s">
        <v>980</v>
      </c>
      <c r="B261" s="14" t="s">
        <v>721</v>
      </c>
    </row>
    <row r="262" spans="1:2" ht="21.75" customHeight="1">
      <c r="A262" s="14" t="s">
        <v>981</v>
      </c>
      <c r="B262" s="14" t="s">
        <v>721</v>
      </c>
    </row>
    <row r="263" spans="1:2" ht="21.75" customHeight="1">
      <c r="A263" s="14" t="s">
        <v>982</v>
      </c>
      <c r="B263" s="14" t="s">
        <v>57</v>
      </c>
    </row>
    <row r="264" spans="1:2" ht="21.75" customHeight="1">
      <c r="A264" s="14" t="s">
        <v>983</v>
      </c>
      <c r="B264" s="14" t="s">
        <v>721</v>
      </c>
    </row>
    <row r="265" spans="1:2" ht="21.75" customHeight="1">
      <c r="A265" s="14" t="s">
        <v>984</v>
      </c>
      <c r="B265" s="14" t="s">
        <v>19</v>
      </c>
    </row>
    <row r="266" spans="1:2" ht="21.75" customHeight="1">
      <c r="A266" s="14" t="s">
        <v>985</v>
      </c>
      <c r="B266" s="14" t="s">
        <v>19</v>
      </c>
    </row>
    <row r="267" spans="1:2" ht="21.75" customHeight="1">
      <c r="A267" s="14" t="s">
        <v>986</v>
      </c>
      <c r="B267" s="14" t="s">
        <v>19</v>
      </c>
    </row>
    <row r="268" spans="1:2" ht="21.75" customHeight="1">
      <c r="A268" s="14" t="s">
        <v>987</v>
      </c>
      <c r="B268" s="14" t="s">
        <v>19</v>
      </c>
    </row>
    <row r="269" spans="1:2" ht="21.75" customHeight="1">
      <c r="A269" s="14" t="s">
        <v>988</v>
      </c>
      <c r="B269" s="14" t="s">
        <v>19</v>
      </c>
    </row>
    <row r="270" spans="1:2" ht="21.75" customHeight="1">
      <c r="A270" s="14" t="s">
        <v>989</v>
      </c>
      <c r="B270" s="14" t="s">
        <v>19</v>
      </c>
    </row>
    <row r="271" spans="1:2" ht="21.75" customHeight="1">
      <c r="A271" s="14" t="s">
        <v>990</v>
      </c>
      <c r="B271" s="14" t="s">
        <v>19</v>
      </c>
    </row>
    <row r="272" spans="1:2" ht="21.75" customHeight="1">
      <c r="A272" s="14" t="s">
        <v>991</v>
      </c>
      <c r="B272" s="14" t="s">
        <v>19</v>
      </c>
    </row>
    <row r="273" spans="1:2" ht="21.75" customHeight="1">
      <c r="A273" s="14" t="s">
        <v>992</v>
      </c>
      <c r="B273" s="14" t="s">
        <v>19</v>
      </c>
    </row>
    <row r="274" spans="1:2" ht="21.75" customHeight="1">
      <c r="A274" s="14" t="s">
        <v>993</v>
      </c>
      <c r="B274" s="14" t="s">
        <v>19</v>
      </c>
    </row>
    <row r="275" spans="1:2" ht="21.75" customHeight="1">
      <c r="A275" s="14" t="s">
        <v>994</v>
      </c>
      <c r="B275" s="14" t="s">
        <v>721</v>
      </c>
    </row>
    <row r="276" spans="1:2" ht="21.75" customHeight="1">
      <c r="A276" s="14" t="s">
        <v>995</v>
      </c>
      <c r="B276" s="14" t="s">
        <v>721</v>
      </c>
    </row>
    <row r="277" spans="1:2" ht="21.75" customHeight="1">
      <c r="A277" s="14" t="s">
        <v>996</v>
      </c>
      <c r="B277" s="14" t="s">
        <v>721</v>
      </c>
    </row>
    <row r="278" spans="1:2" ht="21.75" customHeight="1">
      <c r="A278" s="14" t="s">
        <v>997</v>
      </c>
      <c r="B278" s="14" t="s">
        <v>721</v>
      </c>
    </row>
    <row r="279" spans="1:2" ht="21.75" customHeight="1">
      <c r="A279" s="14" t="s">
        <v>998</v>
      </c>
      <c r="B279" s="14" t="s">
        <v>721</v>
      </c>
    </row>
    <row r="280" spans="1:2" ht="21.75" customHeight="1">
      <c r="A280" s="14" t="s">
        <v>999</v>
      </c>
      <c r="B280" s="14" t="s">
        <v>721</v>
      </c>
    </row>
    <row r="281" spans="1:2" ht="21.75" customHeight="1">
      <c r="A281" s="14" t="s">
        <v>1000</v>
      </c>
      <c r="B281" s="14" t="s">
        <v>721</v>
      </c>
    </row>
    <row r="282" spans="1:2" ht="21.75" customHeight="1">
      <c r="A282" s="14" t="s">
        <v>1001</v>
      </c>
      <c r="B282" s="14" t="s">
        <v>721</v>
      </c>
    </row>
    <row r="283" spans="1:2" ht="21.75" customHeight="1">
      <c r="A283" s="15" t="s">
        <v>1002</v>
      </c>
      <c r="B283" s="14" t="s">
        <v>721</v>
      </c>
    </row>
    <row r="284" spans="1:2" ht="21.75" customHeight="1">
      <c r="A284" s="14" t="s">
        <v>1003</v>
      </c>
      <c r="B284" s="14" t="s">
        <v>721</v>
      </c>
    </row>
    <row r="285" spans="1:2" ht="21.75" customHeight="1">
      <c r="A285" s="14" t="s">
        <v>1004</v>
      </c>
      <c r="B285" s="14" t="s">
        <v>721</v>
      </c>
    </row>
    <row r="286" spans="1:2" ht="21.75" customHeight="1">
      <c r="A286" s="14" t="s">
        <v>1005</v>
      </c>
      <c r="B286" s="14" t="s">
        <v>721</v>
      </c>
    </row>
    <row r="287" spans="1:2" ht="21.75" customHeight="1">
      <c r="A287" s="14" t="s">
        <v>1006</v>
      </c>
      <c r="B287" s="14" t="s">
        <v>721</v>
      </c>
    </row>
    <row r="288" spans="1:2" ht="21.75" customHeight="1">
      <c r="A288" s="14" t="s">
        <v>1007</v>
      </c>
      <c r="B288" s="14" t="s">
        <v>284</v>
      </c>
    </row>
    <row r="289" spans="1:2" ht="21.75" customHeight="1">
      <c r="A289" s="14" t="s">
        <v>700</v>
      </c>
      <c r="B289" s="14" t="s">
        <v>721</v>
      </c>
    </row>
    <row r="290" spans="1:2" ht="21.75" customHeight="1">
      <c r="A290" s="14" t="s">
        <v>1008</v>
      </c>
      <c r="B290" s="14" t="s">
        <v>721</v>
      </c>
    </row>
    <row r="291" spans="1:2" ht="21.75" customHeight="1">
      <c r="A291" s="14" t="s">
        <v>1009</v>
      </c>
      <c r="B291" s="14" t="s">
        <v>721</v>
      </c>
    </row>
    <row r="292" spans="1:2" ht="21.75" customHeight="1">
      <c r="A292" s="14" t="s">
        <v>1010</v>
      </c>
      <c r="B292" s="14" t="s">
        <v>721</v>
      </c>
    </row>
    <row r="293" spans="1:2" ht="21.75" customHeight="1">
      <c r="A293" s="14" t="s">
        <v>1011</v>
      </c>
      <c r="B293" s="14" t="s">
        <v>721</v>
      </c>
    </row>
    <row r="294" spans="1:2" ht="21.75" customHeight="1">
      <c r="A294" s="14" t="s">
        <v>1012</v>
      </c>
      <c r="B294" s="14" t="s">
        <v>721</v>
      </c>
    </row>
    <row r="295" spans="1:2" ht="21.75" customHeight="1">
      <c r="A295" s="14" t="s">
        <v>1013</v>
      </c>
      <c r="B295" s="14" t="s">
        <v>721</v>
      </c>
    </row>
    <row r="296" spans="1:2" ht="21.75" customHeight="1">
      <c r="A296" s="14" t="s">
        <v>1014</v>
      </c>
      <c r="B296" s="14" t="s">
        <v>721</v>
      </c>
    </row>
    <row r="297" spans="1:2" ht="21.75" customHeight="1">
      <c r="A297" s="14" t="s">
        <v>1015</v>
      </c>
      <c r="B297" s="14" t="s">
        <v>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70F94-6A7A-4F09-8A9C-1F5BD0BAFE9C}">
  <dimension ref="A1:P424"/>
  <sheetViews>
    <sheetView tabSelected="1" workbookViewId="0">
      <pane ySplit="1" topLeftCell="A2" activePane="bottomLeft" state="frozen"/>
      <selection pane="bottomLeft" activeCell="A404" sqref="A404"/>
    </sheetView>
  </sheetViews>
  <sheetFormatPr defaultColWidth="8.85546875" defaultRowHeight="15"/>
  <cols>
    <col min="1" max="1" width="12" style="4" customWidth="1"/>
    <col min="2" max="2" width="58" style="4" customWidth="1"/>
    <col min="3" max="3" width="31.28515625" style="4" customWidth="1"/>
    <col min="4" max="4" width="38.42578125" style="4" customWidth="1"/>
    <col min="5" max="5" width="28.28515625" style="4" customWidth="1"/>
    <col min="6" max="6" width="24.140625" style="4" customWidth="1"/>
    <col min="7" max="7" width="32.5703125" customWidth="1"/>
    <col min="8" max="8" width="12.28515625" customWidth="1"/>
    <col min="9" max="10" width="15.5703125" customWidth="1"/>
    <col min="11" max="14" width="8.85546875" customWidth="1"/>
    <col min="15" max="15" width="10.85546875" customWidth="1"/>
  </cols>
  <sheetData>
    <row r="1" spans="1:16" ht="15.75">
      <c r="A1" s="31" t="s">
        <v>0</v>
      </c>
      <c r="B1" s="31" t="s">
        <v>589</v>
      </c>
      <c r="C1" s="31" t="s">
        <v>590</v>
      </c>
      <c r="D1" s="31" t="s">
        <v>591</v>
      </c>
      <c r="E1" s="31" t="s">
        <v>592</v>
      </c>
      <c r="F1" s="32" t="s">
        <v>593</v>
      </c>
      <c r="G1" s="33" t="s">
        <v>1016</v>
      </c>
      <c r="H1" s="33" t="s">
        <v>1017</v>
      </c>
      <c r="I1" s="33" t="s">
        <v>1018</v>
      </c>
      <c r="J1" s="34" t="s">
        <v>1019</v>
      </c>
      <c r="K1" s="35" t="s">
        <v>1020</v>
      </c>
      <c r="L1" s="35" t="s">
        <v>1021</v>
      </c>
      <c r="M1" s="35" t="s">
        <v>1022</v>
      </c>
      <c r="N1" s="35" t="s">
        <v>1023</v>
      </c>
      <c r="O1" s="34" t="s">
        <v>1024</v>
      </c>
      <c r="P1" s="34" t="s">
        <v>1025</v>
      </c>
    </row>
    <row r="2" spans="1:16">
      <c r="A2" s="31" t="s">
        <v>3</v>
      </c>
      <c r="B2" s="31" t="s">
        <v>4</v>
      </c>
      <c r="C2" s="31" t="s">
        <v>1026</v>
      </c>
      <c r="D2" s="31" t="s">
        <v>596</v>
      </c>
      <c r="E2" s="31" t="s">
        <v>597</v>
      </c>
      <c r="F2" s="31" t="s">
        <v>598</v>
      </c>
      <c r="G2" s="31" t="s">
        <v>598</v>
      </c>
      <c r="H2" s="33" t="s">
        <v>638</v>
      </c>
      <c r="I2" s="33" t="s">
        <v>638</v>
      </c>
      <c r="J2" s="33">
        <v>171005</v>
      </c>
      <c r="K2" s="33" t="s">
        <v>1027</v>
      </c>
      <c r="L2" s="33" t="s">
        <v>1028</v>
      </c>
      <c r="M2" s="33">
        <v>5</v>
      </c>
      <c r="N2" s="33" t="s">
        <v>1029</v>
      </c>
      <c r="O2" s="33">
        <v>0</v>
      </c>
      <c r="P2" s="33">
        <f>VLOOKUP(F2,Royalty!$A$3:$B$49,2,0)</f>
        <v>2</v>
      </c>
    </row>
    <row r="3" spans="1:16">
      <c r="A3" s="31" t="s">
        <v>5</v>
      </c>
      <c r="B3" s="31" t="s">
        <v>6</v>
      </c>
      <c r="C3" s="31" t="s">
        <v>1026</v>
      </c>
      <c r="D3" s="31" t="s">
        <v>599</v>
      </c>
      <c r="E3" s="31" t="s">
        <v>600</v>
      </c>
      <c r="F3" s="31" t="s">
        <v>601</v>
      </c>
      <c r="G3" s="31" t="s">
        <v>601</v>
      </c>
      <c r="H3" s="33" t="s">
        <v>638</v>
      </c>
      <c r="I3" s="33" t="s">
        <v>638</v>
      </c>
      <c r="J3" s="33">
        <v>172023</v>
      </c>
      <c r="K3" s="33" t="s">
        <v>1030</v>
      </c>
      <c r="L3" s="33" t="s">
        <v>1031</v>
      </c>
      <c r="M3" s="33">
        <v>8</v>
      </c>
      <c r="N3" s="33" t="s">
        <v>1029</v>
      </c>
      <c r="O3" s="33">
        <v>172023</v>
      </c>
      <c r="P3" s="33">
        <f>VLOOKUP(F3,Royalty!$A$3:$B$49,2,0)</f>
        <v>2</v>
      </c>
    </row>
    <row r="4" spans="1:16">
      <c r="A4" s="31" t="s">
        <v>7</v>
      </c>
      <c r="B4" s="31" t="s">
        <v>8</v>
      </c>
      <c r="C4" s="31" t="s">
        <v>1026</v>
      </c>
      <c r="D4" s="31" t="s">
        <v>596</v>
      </c>
      <c r="E4" s="31" t="s">
        <v>597</v>
      </c>
      <c r="F4" s="31" t="s">
        <v>602</v>
      </c>
      <c r="G4" s="31" t="s">
        <v>602</v>
      </c>
      <c r="H4" s="33" t="s">
        <v>638</v>
      </c>
      <c r="I4" s="33" t="s">
        <v>638</v>
      </c>
      <c r="J4" s="33">
        <v>171014</v>
      </c>
      <c r="K4" s="33" t="s">
        <v>1032</v>
      </c>
      <c r="L4" s="33" t="s">
        <v>1033</v>
      </c>
      <c r="M4" s="33">
        <v>6</v>
      </c>
      <c r="N4" s="33" t="s">
        <v>1029</v>
      </c>
      <c r="O4" s="33">
        <v>0</v>
      </c>
      <c r="P4" s="33">
        <f>VLOOKUP(F4,Royalty!$A$3:$B$49,2,0)</f>
        <v>2</v>
      </c>
    </row>
    <row r="5" spans="1:16">
      <c r="A5" s="31" t="s">
        <v>9</v>
      </c>
      <c r="B5" s="31" t="s">
        <v>10</v>
      </c>
      <c r="C5" s="31" t="s">
        <v>1026</v>
      </c>
      <c r="D5" s="31" t="s">
        <v>596</v>
      </c>
      <c r="E5" s="31" t="s">
        <v>597</v>
      </c>
      <c r="F5" s="31" t="s">
        <v>603</v>
      </c>
      <c r="G5" s="31" t="s">
        <v>603</v>
      </c>
      <c r="H5" s="33" t="s">
        <v>638</v>
      </c>
      <c r="I5" s="33" t="s">
        <v>638</v>
      </c>
      <c r="J5" s="33">
        <v>171022</v>
      </c>
      <c r="K5" s="33" t="s">
        <v>1027</v>
      </c>
      <c r="L5" s="33" t="s">
        <v>1034</v>
      </c>
      <c r="M5" s="33">
        <v>5</v>
      </c>
      <c r="N5" s="33" t="s">
        <v>1029</v>
      </c>
      <c r="O5" s="33">
        <v>171003</v>
      </c>
      <c r="P5" s="33">
        <f>VLOOKUP(F5,Royalty!$A$3:$B$49,2,0)</f>
        <v>3</v>
      </c>
    </row>
    <row r="6" spans="1:16" ht="30.75">
      <c r="A6" s="31" t="s">
        <v>11</v>
      </c>
      <c r="B6" s="52" t="s">
        <v>12</v>
      </c>
      <c r="C6" s="31" t="s">
        <v>1026</v>
      </c>
      <c r="D6" s="31" t="s">
        <v>596</v>
      </c>
      <c r="E6" s="31" t="s">
        <v>597</v>
      </c>
      <c r="F6" s="31" t="s">
        <v>604</v>
      </c>
      <c r="G6" s="31" t="s">
        <v>604</v>
      </c>
      <c r="H6" s="33" t="s">
        <v>638</v>
      </c>
      <c r="I6" s="33" t="s">
        <v>638</v>
      </c>
      <c r="J6" s="33">
        <v>171025</v>
      </c>
      <c r="K6" s="33" t="s">
        <v>1035</v>
      </c>
      <c r="L6" s="33" t="s">
        <v>1036</v>
      </c>
      <c r="M6" s="33">
        <v>205</v>
      </c>
      <c r="N6" s="33" t="s">
        <v>1029</v>
      </c>
      <c r="O6" s="33">
        <v>171004</v>
      </c>
      <c r="P6" s="33">
        <f>VLOOKUP(F6,Royalty!$A$3:$B$49,2,0)</f>
        <v>3</v>
      </c>
    </row>
    <row r="7" spans="1:16">
      <c r="A7" s="31" t="s">
        <v>13</v>
      </c>
      <c r="B7" s="31" t="s">
        <v>14</v>
      </c>
      <c r="C7" s="31" t="s">
        <v>1026</v>
      </c>
      <c r="D7" s="31" t="s">
        <v>596</v>
      </c>
      <c r="E7" s="31" t="s">
        <v>605</v>
      </c>
      <c r="F7" s="31" t="s">
        <v>606</v>
      </c>
      <c r="G7" s="31" t="s">
        <v>606</v>
      </c>
      <c r="H7" s="33" t="s">
        <v>638</v>
      </c>
      <c r="I7" s="33" t="s">
        <v>638</v>
      </c>
      <c r="J7" s="33">
        <v>171028</v>
      </c>
      <c r="K7" s="33" t="s">
        <v>1027</v>
      </c>
      <c r="L7" s="33" t="s">
        <v>1028</v>
      </c>
      <c r="M7" s="33">
        <v>5</v>
      </c>
      <c r="N7" s="33" t="s">
        <v>1037</v>
      </c>
      <c r="O7" s="33">
        <v>0</v>
      </c>
      <c r="P7" s="33">
        <f>VLOOKUP(F7,Royalty!$A$3:$B$49,2,0)</f>
        <v>3</v>
      </c>
    </row>
    <row r="8" spans="1:16">
      <c r="A8" s="31" t="s">
        <v>15</v>
      </c>
      <c r="B8" s="31" t="s">
        <v>16</v>
      </c>
      <c r="C8" s="31" t="s">
        <v>1026</v>
      </c>
      <c r="D8" s="31" t="s">
        <v>596</v>
      </c>
      <c r="E8" s="31" t="s">
        <v>605</v>
      </c>
      <c r="F8" s="31" t="s">
        <v>607</v>
      </c>
      <c r="G8" s="31" t="s">
        <v>607</v>
      </c>
      <c r="H8" s="33" t="s">
        <v>638</v>
      </c>
      <c r="I8" s="33" t="s">
        <v>638</v>
      </c>
      <c r="J8" s="33">
        <v>171031</v>
      </c>
      <c r="K8" s="33" t="s">
        <v>1038</v>
      </c>
      <c r="L8" s="33" t="s">
        <v>1039</v>
      </c>
      <c r="M8" s="33">
        <v>1</v>
      </c>
      <c r="N8" s="33" t="s">
        <v>1037</v>
      </c>
      <c r="O8" s="33">
        <v>0</v>
      </c>
      <c r="P8" s="33">
        <f>VLOOKUP(F8,Royalty!$A$3:$B$49,2,0)</f>
        <v>2</v>
      </c>
    </row>
    <row r="9" spans="1:16">
      <c r="A9" s="31" t="s">
        <v>17</v>
      </c>
      <c r="B9" s="31" t="s">
        <v>18</v>
      </c>
      <c r="C9" s="31" t="s">
        <v>1026</v>
      </c>
      <c r="D9" s="31" t="s">
        <v>596</v>
      </c>
      <c r="E9" s="31" t="s">
        <v>608</v>
      </c>
      <c r="F9" s="31" t="s">
        <v>609</v>
      </c>
      <c r="G9" s="31" t="s">
        <v>609</v>
      </c>
      <c r="H9" s="33" t="s">
        <v>638</v>
      </c>
      <c r="I9" s="33" t="s">
        <v>638</v>
      </c>
      <c r="J9" s="33">
        <v>171035</v>
      </c>
      <c r="K9" s="33" t="s">
        <v>1027</v>
      </c>
      <c r="L9" s="33" t="s">
        <v>1028</v>
      </c>
      <c r="M9" s="33">
        <v>5</v>
      </c>
      <c r="N9" s="33" t="s">
        <v>1037</v>
      </c>
      <c r="O9" s="33">
        <v>0</v>
      </c>
      <c r="P9" s="33">
        <f>VLOOKUP(F9,Royalty!$A$3:$B$49,2,0)</f>
        <v>3</v>
      </c>
    </row>
    <row r="10" spans="1:16">
      <c r="A10" s="31" t="s">
        <v>19</v>
      </c>
      <c r="B10" s="31" t="s">
        <v>20</v>
      </c>
      <c r="C10" s="31" t="s">
        <v>1026</v>
      </c>
      <c r="D10" s="31" t="s">
        <v>596</v>
      </c>
      <c r="E10" s="31" t="s">
        <v>608</v>
      </c>
      <c r="F10" s="31" t="s">
        <v>610</v>
      </c>
      <c r="G10" s="31" t="s">
        <v>610</v>
      </c>
      <c r="H10" s="33" t="s">
        <v>638</v>
      </c>
      <c r="I10" s="33" t="s">
        <v>638</v>
      </c>
      <c r="J10" s="33">
        <v>171038</v>
      </c>
      <c r="K10" s="33" t="s">
        <v>1038</v>
      </c>
      <c r="L10" s="33" t="s">
        <v>1039</v>
      </c>
      <c r="M10" s="33">
        <v>1</v>
      </c>
      <c r="N10" s="33" t="s">
        <v>1037</v>
      </c>
      <c r="O10" s="33">
        <v>0</v>
      </c>
      <c r="P10" s="33">
        <f>VLOOKUP(F10,Royalty!$A$3:$B$49,2,0)</f>
        <v>3</v>
      </c>
    </row>
    <row r="11" spans="1:16">
      <c r="A11" s="31" t="s">
        <v>21</v>
      </c>
      <c r="B11" s="31" t="s">
        <v>22</v>
      </c>
      <c r="C11" s="31" t="s">
        <v>1026</v>
      </c>
      <c r="D11" s="31" t="s">
        <v>596</v>
      </c>
      <c r="E11" s="31" t="s">
        <v>597</v>
      </c>
      <c r="F11" s="31" t="s">
        <v>604</v>
      </c>
      <c r="G11" s="31" t="s">
        <v>604</v>
      </c>
      <c r="H11" s="33" t="s">
        <v>638</v>
      </c>
      <c r="I11" s="33" t="s">
        <v>638</v>
      </c>
      <c r="J11" s="33">
        <v>171041</v>
      </c>
      <c r="K11" s="33" t="s">
        <v>1027</v>
      </c>
      <c r="L11" s="33" t="s">
        <v>1031</v>
      </c>
      <c r="M11" s="33">
        <v>5</v>
      </c>
      <c r="N11" s="33" t="s">
        <v>1029</v>
      </c>
      <c r="O11" s="33">
        <v>171024</v>
      </c>
      <c r="P11" s="33">
        <f>VLOOKUP(F11,Royalty!$A$3:$B$49,2,0)</f>
        <v>3</v>
      </c>
    </row>
    <row r="12" spans="1:16">
      <c r="A12" s="31" t="s">
        <v>23</v>
      </c>
      <c r="B12" s="31" t="s">
        <v>24</v>
      </c>
      <c r="C12" s="31" t="s">
        <v>1026</v>
      </c>
      <c r="D12" s="31" t="s">
        <v>596</v>
      </c>
      <c r="E12" s="31" t="s">
        <v>605</v>
      </c>
      <c r="F12" s="31" t="s">
        <v>607</v>
      </c>
      <c r="G12" s="31" t="s">
        <v>607</v>
      </c>
      <c r="H12" s="33" t="s">
        <v>638</v>
      </c>
      <c r="I12" s="33" t="s">
        <v>638</v>
      </c>
      <c r="J12" s="33">
        <v>171044</v>
      </c>
      <c r="K12" s="33" t="s">
        <v>1030</v>
      </c>
      <c r="L12" s="33" t="s">
        <v>1028</v>
      </c>
      <c r="M12" s="33">
        <v>1</v>
      </c>
      <c r="N12" s="33" t="s">
        <v>1029</v>
      </c>
      <c r="O12" s="33">
        <v>171034</v>
      </c>
      <c r="P12" s="33">
        <f>VLOOKUP(F12,Royalty!$A$3:$B$49,2,0)</f>
        <v>2</v>
      </c>
    </row>
    <row r="13" spans="1:16" ht="15.75">
      <c r="A13" s="31" t="s">
        <v>25</v>
      </c>
      <c r="B13" s="31" t="s">
        <v>26</v>
      </c>
      <c r="C13" s="31" t="s">
        <v>1026</v>
      </c>
      <c r="D13" s="31" t="s">
        <v>599</v>
      </c>
      <c r="E13" s="31" t="s">
        <v>611</v>
      </c>
      <c r="F13" s="32" t="s">
        <v>612</v>
      </c>
      <c r="G13" s="32" t="s">
        <v>612</v>
      </c>
      <c r="H13" s="33" t="s">
        <v>638</v>
      </c>
      <c r="I13" s="33" t="s">
        <v>638</v>
      </c>
      <c r="J13" s="33">
        <v>172001</v>
      </c>
      <c r="K13" s="33" t="s">
        <v>1030</v>
      </c>
      <c r="L13" s="33" t="s">
        <v>1033</v>
      </c>
      <c r="M13" s="33">
        <v>1</v>
      </c>
      <c r="N13" s="33" t="s">
        <v>1029</v>
      </c>
      <c r="O13" s="33">
        <v>172002</v>
      </c>
      <c r="P13" s="33">
        <f>VLOOKUP(F13,Royalty!$A$3:$B$49,2,0)</f>
        <v>2</v>
      </c>
    </row>
    <row r="14" spans="1:16">
      <c r="A14" s="31" t="s">
        <v>27</v>
      </c>
      <c r="B14" s="31" t="s">
        <v>28</v>
      </c>
      <c r="C14" s="31" t="s">
        <v>1026</v>
      </c>
      <c r="D14" s="31" t="s">
        <v>599</v>
      </c>
      <c r="E14" s="31" t="s">
        <v>613</v>
      </c>
      <c r="F14" s="31" t="s">
        <v>614</v>
      </c>
      <c r="G14" s="31" t="s">
        <v>614</v>
      </c>
      <c r="H14" s="33" t="s">
        <v>638</v>
      </c>
      <c r="I14" s="33" t="s">
        <v>638</v>
      </c>
      <c r="J14" s="33">
        <v>172007</v>
      </c>
      <c r="K14" s="33" t="s">
        <v>1040</v>
      </c>
      <c r="L14" s="33" t="s">
        <v>1031</v>
      </c>
      <c r="M14" s="33">
        <v>4</v>
      </c>
      <c r="N14" s="33" t="s">
        <v>1029</v>
      </c>
      <c r="O14" s="33">
        <v>172009</v>
      </c>
      <c r="P14" s="33">
        <f>VLOOKUP(F14,Royalty!$A$3:$B$49,2,0)</f>
        <v>2</v>
      </c>
    </row>
    <row r="15" spans="1:16">
      <c r="A15" s="31" t="s">
        <v>29</v>
      </c>
      <c r="B15" s="31" t="s">
        <v>30</v>
      </c>
      <c r="C15" s="31" t="s">
        <v>1026</v>
      </c>
      <c r="D15" s="31" t="s">
        <v>599</v>
      </c>
      <c r="E15" s="31" t="s">
        <v>613</v>
      </c>
      <c r="F15" s="31" t="s">
        <v>615</v>
      </c>
      <c r="G15" s="31" t="s">
        <v>615</v>
      </c>
      <c r="H15" s="33" t="s">
        <v>638</v>
      </c>
      <c r="I15" s="33" t="s">
        <v>638</v>
      </c>
      <c r="J15" s="33">
        <v>172008</v>
      </c>
      <c r="K15" s="33" t="s">
        <v>1030</v>
      </c>
      <c r="L15" s="33" t="s">
        <v>1033</v>
      </c>
      <c r="M15" s="33">
        <v>6</v>
      </c>
      <c r="N15" s="33" t="s">
        <v>1029</v>
      </c>
      <c r="O15" s="33">
        <v>172010</v>
      </c>
      <c r="P15" s="33">
        <f>VLOOKUP(F15,Royalty!$A$3:$B$49,2,0)</f>
        <v>2</v>
      </c>
    </row>
    <row r="16" spans="1:16">
      <c r="A16" s="31" t="s">
        <v>31</v>
      </c>
      <c r="B16" s="31" t="s">
        <v>32</v>
      </c>
      <c r="C16" s="31" t="s">
        <v>1026</v>
      </c>
      <c r="D16" s="31" t="s">
        <v>599</v>
      </c>
      <c r="E16" s="31" t="s">
        <v>616</v>
      </c>
      <c r="F16" s="31" t="s">
        <v>617</v>
      </c>
      <c r="G16" s="31" t="s">
        <v>1041</v>
      </c>
      <c r="H16" s="33">
        <v>12000</v>
      </c>
      <c r="I16" s="33" t="s">
        <v>638</v>
      </c>
      <c r="J16" s="33">
        <v>172027</v>
      </c>
      <c r="K16" s="33" t="s">
        <v>1042</v>
      </c>
      <c r="L16" s="33" t="s">
        <v>1031</v>
      </c>
      <c r="M16" s="33">
        <v>10</v>
      </c>
      <c r="N16" s="33" t="s">
        <v>1043</v>
      </c>
      <c r="O16" s="33">
        <v>172027</v>
      </c>
      <c r="P16" s="33">
        <f>VLOOKUP(F16,Royalty!$A$3:$B$49,2,0)</f>
        <v>2</v>
      </c>
    </row>
    <row r="17" spans="1:16">
      <c r="A17" s="31" t="s">
        <v>33</v>
      </c>
      <c r="B17" s="31" t="s">
        <v>34</v>
      </c>
      <c r="C17" s="31" t="s">
        <v>1026</v>
      </c>
      <c r="D17" s="31" t="s">
        <v>599</v>
      </c>
      <c r="E17" s="31" t="s">
        <v>608</v>
      </c>
      <c r="F17" s="31" t="s">
        <v>618</v>
      </c>
      <c r="G17" s="31" t="s">
        <v>618</v>
      </c>
      <c r="H17" s="33" t="s">
        <v>638</v>
      </c>
      <c r="I17" s="33" t="s">
        <v>638</v>
      </c>
      <c r="J17" s="33">
        <v>172035</v>
      </c>
      <c r="K17" s="33" t="s">
        <v>1044</v>
      </c>
      <c r="L17" s="33" t="s">
        <v>1045</v>
      </c>
      <c r="M17" s="33">
        <v>20</v>
      </c>
      <c r="N17" s="33" t="s">
        <v>1029</v>
      </c>
      <c r="O17" s="33">
        <v>0</v>
      </c>
      <c r="P17" s="33">
        <f>VLOOKUP(F17,Royalty!$A$3:$B$49,2,0)</f>
        <v>3</v>
      </c>
    </row>
    <row r="18" spans="1:16">
      <c r="A18" s="31" t="s">
        <v>35</v>
      </c>
      <c r="B18" s="31" t="s">
        <v>36</v>
      </c>
      <c r="C18" s="31" t="s">
        <v>1026</v>
      </c>
      <c r="D18" s="31" t="s">
        <v>599</v>
      </c>
      <c r="E18" s="31" t="s">
        <v>616</v>
      </c>
      <c r="F18" s="31" t="s">
        <v>617</v>
      </c>
      <c r="G18" s="31" t="s">
        <v>1046</v>
      </c>
      <c r="H18" s="33" t="s">
        <v>638</v>
      </c>
      <c r="I18" s="33" t="s">
        <v>638</v>
      </c>
      <c r="J18" s="33">
        <v>172038</v>
      </c>
      <c r="K18" s="33" t="s">
        <v>1042</v>
      </c>
      <c r="L18" s="33" t="s">
        <v>1031</v>
      </c>
      <c r="M18" s="33">
        <v>10</v>
      </c>
      <c r="N18" s="33" t="s">
        <v>1043</v>
      </c>
      <c r="O18" s="33">
        <v>172038</v>
      </c>
      <c r="P18" s="33">
        <f>VLOOKUP(F18,Royalty!$A$3:$B$49,2,0)</f>
        <v>2</v>
      </c>
    </row>
    <row r="19" spans="1:16">
      <c r="A19" s="31" t="s">
        <v>37</v>
      </c>
      <c r="B19" s="31" t="s">
        <v>38</v>
      </c>
      <c r="C19" s="31" t="s">
        <v>1026</v>
      </c>
      <c r="D19" s="31" t="s">
        <v>599</v>
      </c>
      <c r="E19" s="31" t="s">
        <v>616</v>
      </c>
      <c r="F19" s="31" t="s">
        <v>617</v>
      </c>
      <c r="G19" s="31" t="s">
        <v>1047</v>
      </c>
      <c r="H19" s="33">
        <v>12000</v>
      </c>
      <c r="I19" s="33" t="s">
        <v>638</v>
      </c>
      <c r="J19" s="33">
        <v>172039</v>
      </c>
      <c r="K19" s="33" t="s">
        <v>1042</v>
      </c>
      <c r="L19" s="33" t="s">
        <v>1031</v>
      </c>
      <c r="M19" s="33">
        <v>10</v>
      </c>
      <c r="N19" s="33" t="s">
        <v>1043</v>
      </c>
      <c r="O19" s="33">
        <v>172039</v>
      </c>
      <c r="P19" s="33">
        <f>VLOOKUP(F19,Royalty!$A$3:$B$49,2,0)</f>
        <v>2</v>
      </c>
    </row>
    <row r="20" spans="1:16">
      <c r="A20" s="31" t="s">
        <v>39</v>
      </c>
      <c r="B20" s="31" t="s">
        <v>40</v>
      </c>
      <c r="C20" s="31" t="s">
        <v>1026</v>
      </c>
      <c r="D20" s="31" t="s">
        <v>599</v>
      </c>
      <c r="E20" s="31" t="s">
        <v>616</v>
      </c>
      <c r="F20" s="31" t="s">
        <v>617</v>
      </c>
      <c r="G20" s="31" t="s">
        <v>1048</v>
      </c>
      <c r="H20" s="33" t="s">
        <v>638</v>
      </c>
      <c r="I20" s="33" t="s">
        <v>638</v>
      </c>
      <c r="J20" s="33">
        <v>172040</v>
      </c>
      <c r="K20" s="33" t="s">
        <v>1042</v>
      </c>
      <c r="L20" s="33" t="s">
        <v>1031</v>
      </c>
      <c r="M20" s="33">
        <v>10</v>
      </c>
      <c r="N20" s="33" t="s">
        <v>1043</v>
      </c>
      <c r="O20" s="33">
        <v>172040</v>
      </c>
      <c r="P20" s="33">
        <f>VLOOKUP(F20,Royalty!$A$3:$B$49,2,0)</f>
        <v>2</v>
      </c>
    </row>
    <row r="21" spans="1:16">
      <c r="A21" s="31" t="s">
        <v>41</v>
      </c>
      <c r="B21" s="31" t="s">
        <v>42</v>
      </c>
      <c r="C21" s="31" t="s">
        <v>1026</v>
      </c>
      <c r="D21" s="31" t="s">
        <v>599</v>
      </c>
      <c r="E21" s="31" t="s">
        <v>616</v>
      </c>
      <c r="F21" s="31" t="s">
        <v>617</v>
      </c>
      <c r="G21" s="31" t="s">
        <v>1049</v>
      </c>
      <c r="H21" s="33">
        <v>12000</v>
      </c>
      <c r="I21" s="33" t="s">
        <v>638</v>
      </c>
      <c r="J21" s="33">
        <v>172041</v>
      </c>
      <c r="K21" s="33" t="s">
        <v>1042</v>
      </c>
      <c r="L21" s="33" t="s">
        <v>1031</v>
      </c>
      <c r="M21" s="33">
        <v>1</v>
      </c>
      <c r="N21" s="33" t="s">
        <v>1043</v>
      </c>
      <c r="O21" s="33">
        <v>172041</v>
      </c>
      <c r="P21" s="33">
        <f>VLOOKUP(F21,Royalty!$A$3:$B$49,2,0)</f>
        <v>2</v>
      </c>
    </row>
    <row r="22" spans="1:16">
      <c r="A22" s="31" t="s">
        <v>43</v>
      </c>
      <c r="B22" s="31" t="s">
        <v>44</v>
      </c>
      <c r="C22" s="31" t="s">
        <v>1026</v>
      </c>
      <c r="D22" s="31" t="s">
        <v>599</v>
      </c>
      <c r="E22" s="31" t="s">
        <v>600</v>
      </c>
      <c r="F22" s="31" t="s">
        <v>619</v>
      </c>
      <c r="G22" s="31" t="s">
        <v>619</v>
      </c>
      <c r="H22" s="33" t="s">
        <v>638</v>
      </c>
      <c r="I22" s="33" t="s">
        <v>638</v>
      </c>
      <c r="J22" s="33">
        <v>172025</v>
      </c>
      <c r="K22" s="33" t="s">
        <v>1030</v>
      </c>
      <c r="L22" s="33" t="s">
        <v>1031</v>
      </c>
      <c r="M22" s="33">
        <v>8</v>
      </c>
      <c r="N22" s="33" t="s">
        <v>1029</v>
      </c>
      <c r="O22" s="33">
        <v>172025</v>
      </c>
      <c r="P22" s="33">
        <f>VLOOKUP(F22,Royalty!$A$3:$B$49,2,0)</f>
        <v>2</v>
      </c>
    </row>
    <row r="23" spans="1:16">
      <c r="A23" s="31" t="s">
        <v>45</v>
      </c>
      <c r="B23" s="31" t="s">
        <v>46</v>
      </c>
      <c r="C23" s="31" t="s">
        <v>1026</v>
      </c>
      <c r="D23" s="31" t="s">
        <v>599</v>
      </c>
      <c r="E23" s="31" t="s">
        <v>600</v>
      </c>
      <c r="F23" s="31" t="s">
        <v>620</v>
      </c>
      <c r="G23" s="31" t="s">
        <v>620</v>
      </c>
      <c r="H23" s="33" t="s">
        <v>638</v>
      </c>
      <c r="I23" s="33" t="s">
        <v>638</v>
      </c>
      <c r="J23" s="33">
        <v>172026</v>
      </c>
      <c r="K23" s="33" t="s">
        <v>1030</v>
      </c>
      <c r="L23" s="33" t="s">
        <v>1031</v>
      </c>
      <c r="M23" s="33">
        <v>8</v>
      </c>
      <c r="N23" s="33" t="s">
        <v>1029</v>
      </c>
      <c r="O23" s="33">
        <v>172026</v>
      </c>
      <c r="P23" s="33">
        <f>VLOOKUP(F23,Royalty!$A$3:$B$49,2,0)</f>
        <v>2</v>
      </c>
    </row>
    <row r="24" spans="1:16">
      <c r="A24" s="31" t="s">
        <v>47</v>
      </c>
      <c r="B24" s="31" t="s">
        <v>48</v>
      </c>
      <c r="C24" s="31" t="s">
        <v>1026</v>
      </c>
      <c r="D24" s="31" t="s">
        <v>596</v>
      </c>
      <c r="E24" s="31" t="s">
        <v>597</v>
      </c>
      <c r="F24" s="31" t="s">
        <v>621</v>
      </c>
      <c r="G24" s="31" t="s">
        <v>621</v>
      </c>
      <c r="H24" s="33" t="s">
        <v>638</v>
      </c>
      <c r="I24" s="33" t="s">
        <v>638</v>
      </c>
      <c r="J24" s="33">
        <v>171010</v>
      </c>
      <c r="K24" s="33" t="s">
        <v>1042</v>
      </c>
      <c r="L24" s="33" t="s">
        <v>1031</v>
      </c>
      <c r="M24" s="33">
        <v>10</v>
      </c>
      <c r="N24" s="33" t="s">
        <v>1043</v>
      </c>
      <c r="O24" s="33">
        <v>171022</v>
      </c>
      <c r="P24" s="33">
        <f>VLOOKUP(F24,Royalty!$A$3:$B$49,2,0)</f>
        <v>2</v>
      </c>
    </row>
    <row r="25" spans="1:16">
      <c r="A25" s="31" t="s">
        <v>49</v>
      </c>
      <c r="B25" s="31" t="s">
        <v>50</v>
      </c>
      <c r="C25" s="31" t="s">
        <v>1026</v>
      </c>
      <c r="D25" s="31" t="s">
        <v>599</v>
      </c>
      <c r="E25" s="31" t="s">
        <v>613</v>
      </c>
      <c r="F25" s="31" t="s">
        <v>622</v>
      </c>
      <c r="G25" s="31" t="s">
        <v>622</v>
      </c>
      <c r="H25" s="33" t="s">
        <v>638</v>
      </c>
      <c r="I25" s="33" t="s">
        <v>638</v>
      </c>
      <c r="J25" s="33">
        <v>172009</v>
      </c>
      <c r="K25" s="33" t="s">
        <v>1040</v>
      </c>
      <c r="L25" s="33" t="s">
        <v>1031</v>
      </c>
      <c r="M25" s="33">
        <v>3</v>
      </c>
      <c r="N25" s="33" t="s">
        <v>1029</v>
      </c>
      <c r="O25" s="33">
        <v>172011</v>
      </c>
      <c r="P25" s="33">
        <f>VLOOKUP(F25,Royalty!$A$3:$B$49,2,0)</f>
        <v>3</v>
      </c>
    </row>
    <row r="26" spans="1:16">
      <c r="A26" s="31" t="s">
        <v>51</v>
      </c>
      <c r="B26" s="31" t="s">
        <v>52</v>
      </c>
      <c r="C26" s="31" t="s">
        <v>1026</v>
      </c>
      <c r="D26" s="31" t="s">
        <v>599</v>
      </c>
      <c r="E26" s="31" t="s">
        <v>613</v>
      </c>
      <c r="F26" s="31" t="s">
        <v>623</v>
      </c>
      <c r="G26" s="31" t="s">
        <v>623</v>
      </c>
      <c r="H26" s="33" t="s">
        <v>638</v>
      </c>
      <c r="I26" s="33" t="s">
        <v>638</v>
      </c>
      <c r="J26" s="33">
        <v>172011</v>
      </c>
      <c r="K26" s="33" t="s">
        <v>1030</v>
      </c>
      <c r="L26" s="33" t="s">
        <v>1033</v>
      </c>
      <c r="M26" s="33">
        <v>6</v>
      </c>
      <c r="N26" s="33" t="s">
        <v>1029</v>
      </c>
      <c r="O26" s="33">
        <v>172012</v>
      </c>
      <c r="P26" s="33">
        <f>VLOOKUP(F26,Royalty!$A$3:$B$49,2,0)</f>
        <v>2</v>
      </c>
    </row>
    <row r="27" spans="1:16">
      <c r="A27" s="31" t="s">
        <v>53</v>
      </c>
      <c r="B27" s="31" t="s">
        <v>54</v>
      </c>
      <c r="C27" s="31" t="s">
        <v>1026</v>
      </c>
      <c r="D27" s="31" t="s">
        <v>599</v>
      </c>
      <c r="E27" s="31" t="s">
        <v>613</v>
      </c>
      <c r="F27" s="31" t="s">
        <v>624</v>
      </c>
      <c r="G27" s="31" t="s">
        <v>624</v>
      </c>
      <c r="H27" s="33" t="s">
        <v>638</v>
      </c>
      <c r="I27" s="33" t="s">
        <v>638</v>
      </c>
      <c r="J27" s="33">
        <v>172013</v>
      </c>
      <c r="K27" s="33" t="s">
        <v>1040</v>
      </c>
      <c r="L27" s="33" t="s">
        <v>1039</v>
      </c>
      <c r="M27" s="33">
        <v>1</v>
      </c>
      <c r="N27" s="33" t="s">
        <v>1029</v>
      </c>
      <c r="O27" s="33">
        <v>172011</v>
      </c>
      <c r="P27" s="33">
        <f>VLOOKUP(F27,Royalty!$A$3:$B$49,2,0)</f>
        <v>2</v>
      </c>
    </row>
    <row r="28" spans="1:16">
      <c r="A28" s="31" t="s">
        <v>55</v>
      </c>
      <c r="B28" s="31" t="s">
        <v>56</v>
      </c>
      <c r="C28" s="31" t="s">
        <v>1026</v>
      </c>
      <c r="D28" s="31" t="s">
        <v>599</v>
      </c>
      <c r="E28" s="31" t="s">
        <v>613</v>
      </c>
      <c r="F28" s="31" t="s">
        <v>625</v>
      </c>
      <c r="G28" s="31" t="s">
        <v>625</v>
      </c>
      <c r="H28" s="33" t="s">
        <v>638</v>
      </c>
      <c r="I28" s="33" t="s">
        <v>638</v>
      </c>
      <c r="J28" s="33">
        <v>172005</v>
      </c>
      <c r="K28" s="33" t="s">
        <v>1040</v>
      </c>
      <c r="L28" s="33" t="s">
        <v>1031</v>
      </c>
      <c r="M28" s="33">
        <v>1</v>
      </c>
      <c r="N28" s="33" t="s">
        <v>1029</v>
      </c>
      <c r="O28" s="33">
        <v>172011</v>
      </c>
      <c r="P28" s="33">
        <f>VLOOKUP(F28,Royalty!$A$3:$B$49,2,0)</f>
        <v>2</v>
      </c>
    </row>
    <row r="29" spans="1:16">
      <c r="A29" s="31" t="s">
        <v>57</v>
      </c>
      <c r="B29" s="31" t="s">
        <v>58</v>
      </c>
      <c r="C29" s="31" t="s">
        <v>1026</v>
      </c>
      <c r="D29" s="31" t="s">
        <v>596</v>
      </c>
      <c r="E29" s="31" t="s">
        <v>605</v>
      </c>
      <c r="F29" s="31" t="s">
        <v>626</v>
      </c>
      <c r="G29" s="31" t="s">
        <v>626</v>
      </c>
      <c r="H29" s="33" t="s">
        <v>638</v>
      </c>
      <c r="I29" s="33" t="s">
        <v>638</v>
      </c>
      <c r="J29" s="33">
        <v>171034</v>
      </c>
      <c r="K29" s="33" t="s">
        <v>1030</v>
      </c>
      <c r="L29" s="33" t="s">
        <v>1028</v>
      </c>
      <c r="M29" s="33">
        <v>1</v>
      </c>
      <c r="N29" s="33" t="s">
        <v>1029</v>
      </c>
      <c r="O29" s="33">
        <v>0</v>
      </c>
      <c r="P29" s="33">
        <f>VLOOKUP(F29,Royalty!$A$3:$B$49,2,0)</f>
        <v>2</v>
      </c>
    </row>
    <row r="30" spans="1:16" ht="15.75">
      <c r="A30" s="31" t="s">
        <v>59</v>
      </c>
      <c r="B30" s="31" t="s">
        <v>60</v>
      </c>
      <c r="C30" s="31" t="s">
        <v>1026</v>
      </c>
      <c r="D30" s="31" t="s">
        <v>599</v>
      </c>
      <c r="E30" s="31" t="s">
        <v>611</v>
      </c>
      <c r="F30" s="32" t="s">
        <v>627</v>
      </c>
      <c r="G30" s="32" t="s">
        <v>627</v>
      </c>
      <c r="H30" s="33" t="s">
        <v>638</v>
      </c>
      <c r="I30" s="33" t="s">
        <v>638</v>
      </c>
      <c r="J30" s="33">
        <v>172002</v>
      </c>
      <c r="K30" s="33" t="s">
        <v>1030</v>
      </c>
      <c r="L30" s="33" t="s">
        <v>1033</v>
      </c>
      <c r="M30" s="33">
        <v>1</v>
      </c>
      <c r="N30" s="33" t="s">
        <v>1029</v>
      </c>
      <c r="O30" s="33">
        <v>172004</v>
      </c>
      <c r="P30" s="33">
        <f>VLOOKUP(F30,Royalty!$A$3:$B$49,2,0)</f>
        <v>3</v>
      </c>
    </row>
    <row r="31" spans="1:16" ht="15.75">
      <c r="A31" s="31" t="s">
        <v>61</v>
      </c>
      <c r="B31" s="31" t="s">
        <v>62</v>
      </c>
      <c r="C31" s="31" t="s">
        <v>1026</v>
      </c>
      <c r="D31" s="31" t="s">
        <v>599</v>
      </c>
      <c r="E31" s="31" t="s">
        <v>611</v>
      </c>
      <c r="F31" s="32" t="s">
        <v>628</v>
      </c>
      <c r="G31" s="32" t="s">
        <v>628</v>
      </c>
      <c r="H31" s="33" t="s">
        <v>638</v>
      </c>
      <c r="I31" s="33" t="s">
        <v>638</v>
      </c>
      <c r="J31" s="33">
        <v>172004</v>
      </c>
      <c r="K31" s="33" t="s">
        <v>1032</v>
      </c>
      <c r="L31" s="33" t="s">
        <v>1033</v>
      </c>
      <c r="M31" s="33">
        <v>6</v>
      </c>
      <c r="N31" s="33" t="s">
        <v>1029</v>
      </c>
      <c r="O31" s="33">
        <v>172003</v>
      </c>
      <c r="P31" s="33">
        <f>VLOOKUP(F31,Royalty!$A$3:$B$49,2,0)</f>
        <v>2</v>
      </c>
    </row>
    <row r="32" spans="1:16" ht="15.75">
      <c r="A32" s="31" t="s">
        <v>63</v>
      </c>
      <c r="B32" s="31" t="s">
        <v>64</v>
      </c>
      <c r="C32" s="31" t="s">
        <v>1026</v>
      </c>
      <c r="D32" s="31" t="s">
        <v>599</v>
      </c>
      <c r="E32" s="31" t="s">
        <v>613</v>
      </c>
      <c r="F32" s="32" t="s">
        <v>629</v>
      </c>
      <c r="G32" s="32" t="s">
        <v>629</v>
      </c>
      <c r="H32" s="33" t="s">
        <v>638</v>
      </c>
      <c r="I32" s="33" t="s">
        <v>638</v>
      </c>
      <c r="J32" s="33">
        <v>172015</v>
      </c>
      <c r="K32" s="33" t="s">
        <v>1030</v>
      </c>
      <c r="L32" s="33" t="s">
        <v>1039</v>
      </c>
      <c r="M32" s="33">
        <v>1</v>
      </c>
      <c r="N32" s="33" t="s">
        <v>1029</v>
      </c>
      <c r="O32" s="33">
        <v>172012</v>
      </c>
      <c r="P32" s="33">
        <f>VLOOKUP(F32,Royalty!$A$3:$B$49,2,0)</f>
        <v>2</v>
      </c>
    </row>
    <row r="33" spans="1:16">
      <c r="A33" s="31" t="s">
        <v>65</v>
      </c>
      <c r="B33" s="31" t="s">
        <v>66</v>
      </c>
      <c r="C33" s="31" t="s">
        <v>1026</v>
      </c>
      <c r="D33" s="31" t="s">
        <v>599</v>
      </c>
      <c r="E33" s="31" t="s">
        <v>613</v>
      </c>
      <c r="F33" s="31" t="s">
        <v>622</v>
      </c>
      <c r="G33" s="31" t="s">
        <v>622</v>
      </c>
      <c r="H33" s="33" t="s">
        <v>638</v>
      </c>
      <c r="I33" s="33" t="s">
        <v>638</v>
      </c>
      <c r="J33" s="33">
        <v>172010</v>
      </c>
      <c r="K33" s="33" t="s">
        <v>1030</v>
      </c>
      <c r="L33" s="33" t="s">
        <v>1033</v>
      </c>
      <c r="M33" s="33">
        <v>1</v>
      </c>
      <c r="N33" s="33" t="s">
        <v>1029</v>
      </c>
      <c r="O33" s="33">
        <v>172012</v>
      </c>
      <c r="P33" s="33">
        <f>VLOOKUP(F33,Royalty!$A$3:$B$49,2,0)</f>
        <v>3</v>
      </c>
    </row>
    <row r="34" spans="1:16">
      <c r="A34" s="31" t="s">
        <v>67</v>
      </c>
      <c r="B34" s="31" t="s">
        <v>68</v>
      </c>
      <c r="C34" s="31" t="s">
        <v>1026</v>
      </c>
      <c r="D34" s="31" t="s">
        <v>599</v>
      </c>
      <c r="E34" s="31" t="s">
        <v>613</v>
      </c>
      <c r="F34" s="31" t="s">
        <v>623</v>
      </c>
      <c r="G34" s="31" t="s">
        <v>623</v>
      </c>
      <c r="H34" s="33" t="s">
        <v>638</v>
      </c>
      <c r="I34" s="33" t="s">
        <v>638</v>
      </c>
      <c r="J34" s="33">
        <v>172012</v>
      </c>
      <c r="K34" s="33" t="s">
        <v>1040</v>
      </c>
      <c r="L34" s="33" t="s">
        <v>1031</v>
      </c>
      <c r="M34" s="33">
        <v>3</v>
      </c>
      <c r="N34" s="33" t="s">
        <v>1029</v>
      </c>
      <c r="O34" s="33">
        <v>172013</v>
      </c>
      <c r="P34" s="33">
        <f>VLOOKUP(F34,Royalty!$A$3:$B$49,2,0)</f>
        <v>2</v>
      </c>
    </row>
    <row r="35" spans="1:16">
      <c r="A35" s="31" t="s">
        <v>69</v>
      </c>
      <c r="B35" s="31" t="s">
        <v>70</v>
      </c>
      <c r="C35" s="31" t="s">
        <v>1026</v>
      </c>
      <c r="D35" s="31" t="s">
        <v>599</v>
      </c>
      <c r="E35" s="31" t="s">
        <v>600</v>
      </c>
      <c r="F35" s="31" t="s">
        <v>630</v>
      </c>
      <c r="G35" s="31" t="s">
        <v>630</v>
      </c>
      <c r="H35" s="33" t="s">
        <v>638</v>
      </c>
      <c r="I35" s="33" t="s">
        <v>638</v>
      </c>
      <c r="J35" s="33">
        <v>172022</v>
      </c>
      <c r="K35" s="33" t="s">
        <v>1030</v>
      </c>
      <c r="L35" s="33" t="s">
        <v>1031</v>
      </c>
      <c r="M35" s="33">
        <v>8</v>
      </c>
      <c r="N35" s="33" t="s">
        <v>1029</v>
      </c>
      <c r="O35" s="33">
        <v>172022</v>
      </c>
      <c r="P35" s="33">
        <f>VLOOKUP(F35,Royalty!$A$3:$B$49,2,0)</f>
        <v>2</v>
      </c>
    </row>
    <row r="36" spans="1:16">
      <c r="A36" s="31" t="s">
        <v>71</v>
      </c>
      <c r="B36" s="31" t="s">
        <v>72</v>
      </c>
      <c r="C36" s="31" t="s">
        <v>1026</v>
      </c>
      <c r="D36" s="31" t="s">
        <v>599</v>
      </c>
      <c r="E36" s="31" t="s">
        <v>613</v>
      </c>
      <c r="F36" s="31" t="s">
        <v>624</v>
      </c>
      <c r="G36" s="31" t="s">
        <v>624</v>
      </c>
      <c r="H36" s="33" t="s">
        <v>638</v>
      </c>
      <c r="I36" s="33" t="s">
        <v>638</v>
      </c>
      <c r="J36" s="33">
        <v>172014</v>
      </c>
      <c r="K36" s="33" t="s">
        <v>1030</v>
      </c>
      <c r="L36" s="33" t="s">
        <v>1033</v>
      </c>
      <c r="M36" s="33">
        <v>6</v>
      </c>
      <c r="N36" s="33" t="s">
        <v>1029</v>
      </c>
      <c r="O36" s="33">
        <v>172014</v>
      </c>
      <c r="P36" s="33">
        <f>VLOOKUP(F36,Royalty!$A$3:$B$49,2,0)</f>
        <v>2</v>
      </c>
    </row>
    <row r="37" spans="1:16">
      <c r="A37" s="31" t="s">
        <v>73</v>
      </c>
      <c r="B37" s="31" t="s">
        <v>74</v>
      </c>
      <c r="C37" s="31" t="s">
        <v>1026</v>
      </c>
      <c r="D37" s="31" t="s">
        <v>599</v>
      </c>
      <c r="E37" s="31" t="s">
        <v>600</v>
      </c>
      <c r="F37" s="31" t="s">
        <v>631</v>
      </c>
      <c r="G37" s="31" t="s">
        <v>631</v>
      </c>
      <c r="H37" s="33" t="s">
        <v>638</v>
      </c>
      <c r="I37" s="33" t="s">
        <v>638</v>
      </c>
      <c r="J37" s="33">
        <v>172024</v>
      </c>
      <c r="K37" s="33" t="s">
        <v>1030</v>
      </c>
      <c r="L37" s="33" t="s">
        <v>1031</v>
      </c>
      <c r="M37" s="33">
        <v>8</v>
      </c>
      <c r="N37" s="33" t="s">
        <v>1029</v>
      </c>
      <c r="O37" s="33">
        <v>172024</v>
      </c>
      <c r="P37" s="33">
        <f>VLOOKUP(F37,Royalty!$A$3:$B$49,2,0)</f>
        <v>2</v>
      </c>
    </row>
    <row r="38" spans="1:16">
      <c r="A38" s="31" t="s">
        <v>75</v>
      </c>
      <c r="B38" s="31" t="s">
        <v>76</v>
      </c>
      <c r="C38" s="31" t="s">
        <v>1026</v>
      </c>
      <c r="D38" s="31" t="s">
        <v>599</v>
      </c>
      <c r="E38" s="31" t="s">
        <v>613</v>
      </c>
      <c r="F38" s="31" t="s">
        <v>632</v>
      </c>
      <c r="G38" s="31" t="s">
        <v>632</v>
      </c>
      <c r="H38" s="33" t="s">
        <v>638</v>
      </c>
      <c r="I38" s="33" t="s">
        <v>638</v>
      </c>
      <c r="J38" s="33">
        <v>172016</v>
      </c>
      <c r="K38" s="33" t="s">
        <v>1030</v>
      </c>
      <c r="L38" s="33" t="s">
        <v>1033</v>
      </c>
      <c r="M38" s="33">
        <v>1</v>
      </c>
      <c r="N38" s="33" t="s">
        <v>1029</v>
      </c>
      <c r="O38" s="33">
        <v>172015</v>
      </c>
      <c r="P38" s="33">
        <f>VLOOKUP(F38,Royalty!$A$3:$B$49,2,0)</f>
        <v>2</v>
      </c>
    </row>
    <row r="39" spans="1:16">
      <c r="A39" s="31" t="s">
        <v>77</v>
      </c>
      <c r="B39" s="31" t="s">
        <v>78</v>
      </c>
      <c r="C39" s="31" t="s">
        <v>1026</v>
      </c>
      <c r="D39" s="31" t="s">
        <v>599</v>
      </c>
      <c r="E39" s="31" t="s">
        <v>613</v>
      </c>
      <c r="F39" s="31" t="s">
        <v>633</v>
      </c>
      <c r="G39" s="31" t="s">
        <v>633</v>
      </c>
      <c r="H39" s="33" t="s">
        <v>638</v>
      </c>
      <c r="I39" s="33" t="s">
        <v>638</v>
      </c>
      <c r="J39" s="33">
        <v>172017</v>
      </c>
      <c r="K39" s="33" t="s">
        <v>1030</v>
      </c>
      <c r="L39" s="33" t="s">
        <v>1033</v>
      </c>
      <c r="M39" s="33">
        <v>6</v>
      </c>
      <c r="N39" s="33" t="s">
        <v>1029</v>
      </c>
      <c r="O39" s="33">
        <v>172015</v>
      </c>
      <c r="P39" s="33">
        <f>VLOOKUP(F39,Royalty!$A$3:$B$49,2,0)</f>
        <v>2</v>
      </c>
    </row>
    <row r="40" spans="1:16">
      <c r="A40" s="31" t="s">
        <v>79</v>
      </c>
      <c r="B40" s="31" t="s">
        <v>80</v>
      </c>
      <c r="C40" s="31" t="s">
        <v>1026</v>
      </c>
      <c r="D40" s="31" t="s">
        <v>599</v>
      </c>
      <c r="E40" s="31" t="s">
        <v>634</v>
      </c>
      <c r="F40" s="31" t="s">
        <v>635</v>
      </c>
      <c r="G40" s="31" t="s">
        <v>635</v>
      </c>
      <c r="H40" s="33" t="s">
        <v>638</v>
      </c>
      <c r="I40" s="33" t="s">
        <v>638</v>
      </c>
      <c r="J40" s="33">
        <v>172034</v>
      </c>
      <c r="K40" s="33" t="s">
        <v>1030</v>
      </c>
      <c r="L40" s="33" t="s">
        <v>1033</v>
      </c>
      <c r="M40" s="33">
        <v>6</v>
      </c>
      <c r="N40" s="33" t="s">
        <v>1029</v>
      </c>
      <c r="O40" s="33">
        <v>172034</v>
      </c>
      <c r="P40" s="33">
        <f>VLOOKUP(F40,Royalty!$A$3:$B$49,2,0)</f>
        <v>2</v>
      </c>
    </row>
    <row r="41" spans="1:16">
      <c r="A41" s="31" t="s">
        <v>81</v>
      </c>
      <c r="B41" s="31" t="s">
        <v>82</v>
      </c>
      <c r="C41" s="31" t="s">
        <v>1026</v>
      </c>
      <c r="D41" s="31" t="s">
        <v>636</v>
      </c>
      <c r="E41" s="31" t="s">
        <v>637</v>
      </c>
      <c r="F41" s="31" t="s">
        <v>638</v>
      </c>
      <c r="G41" s="31" t="s">
        <v>638</v>
      </c>
      <c r="H41" s="33" t="s">
        <v>638</v>
      </c>
      <c r="I41" s="33" t="s">
        <v>638</v>
      </c>
      <c r="J41" s="33">
        <v>171013</v>
      </c>
      <c r="K41" s="33" t="s">
        <v>1032</v>
      </c>
      <c r="L41" s="33" t="s">
        <v>1033</v>
      </c>
      <c r="M41" s="33">
        <v>6</v>
      </c>
      <c r="N41" s="33" t="s">
        <v>1029</v>
      </c>
      <c r="O41" s="33">
        <v>171013</v>
      </c>
      <c r="P41" s="33"/>
    </row>
    <row r="42" spans="1:16">
      <c r="A42" s="31" t="s">
        <v>83</v>
      </c>
      <c r="B42" s="31" t="s">
        <v>84</v>
      </c>
      <c r="C42" s="31" t="s">
        <v>1026</v>
      </c>
      <c r="D42" s="31" t="s">
        <v>596</v>
      </c>
      <c r="E42" s="31" t="s">
        <v>597</v>
      </c>
      <c r="F42" s="31" t="s">
        <v>602</v>
      </c>
      <c r="G42" s="31" t="s">
        <v>602</v>
      </c>
      <c r="H42" s="33" t="s">
        <v>638</v>
      </c>
      <c r="I42" s="33" t="s">
        <v>638</v>
      </c>
      <c r="J42" s="33">
        <v>171015</v>
      </c>
      <c r="K42" s="33" t="s">
        <v>1032</v>
      </c>
      <c r="L42" s="33" t="s">
        <v>1033</v>
      </c>
      <c r="M42" s="33">
        <v>6</v>
      </c>
      <c r="N42" s="33" t="s">
        <v>1029</v>
      </c>
      <c r="O42" s="33">
        <v>171023</v>
      </c>
      <c r="P42" s="33">
        <f>VLOOKUP(F42,Royalty!$A$3:$B$49,2,0)</f>
        <v>2</v>
      </c>
    </row>
    <row r="43" spans="1:16">
      <c r="A43" s="31" t="s">
        <v>85</v>
      </c>
      <c r="B43" s="31" t="s">
        <v>86</v>
      </c>
      <c r="C43" s="31" t="s">
        <v>1026</v>
      </c>
      <c r="D43" s="31" t="s">
        <v>596</v>
      </c>
      <c r="E43" s="31" t="s">
        <v>597</v>
      </c>
      <c r="F43" s="31" t="s">
        <v>639</v>
      </c>
      <c r="G43" s="31" t="s">
        <v>639</v>
      </c>
      <c r="H43" s="33" t="s">
        <v>638</v>
      </c>
      <c r="I43" s="33" t="s">
        <v>638</v>
      </c>
      <c r="J43" s="33">
        <v>171020</v>
      </c>
      <c r="K43" s="33" t="s">
        <v>1027</v>
      </c>
      <c r="L43" s="33" t="s">
        <v>1034</v>
      </c>
      <c r="M43" s="33">
        <v>5</v>
      </c>
      <c r="N43" s="33" t="s">
        <v>1029</v>
      </c>
      <c r="O43" s="33">
        <v>171011</v>
      </c>
      <c r="P43" s="33">
        <f>VLOOKUP(F43,Royalty!$A$3:$B$49,2,0)</f>
        <v>3</v>
      </c>
    </row>
    <row r="44" spans="1:16">
      <c r="A44" s="31" t="s">
        <v>87</v>
      </c>
      <c r="B44" s="31" t="s">
        <v>88</v>
      </c>
      <c r="C44" s="31" t="s">
        <v>1026</v>
      </c>
      <c r="D44" s="31" t="s">
        <v>596</v>
      </c>
      <c r="E44" s="31" t="s">
        <v>597</v>
      </c>
      <c r="F44" s="31" t="s">
        <v>603</v>
      </c>
      <c r="G44" s="31" t="s">
        <v>603</v>
      </c>
      <c r="H44" s="33" t="s">
        <v>638</v>
      </c>
      <c r="I44" s="33" t="s">
        <v>638</v>
      </c>
      <c r="J44" s="33">
        <v>171023</v>
      </c>
      <c r="K44" s="33" t="s">
        <v>1042</v>
      </c>
      <c r="L44" s="33" t="s">
        <v>1031</v>
      </c>
      <c r="M44" s="33">
        <v>10</v>
      </c>
      <c r="N44" s="33" t="s">
        <v>1043</v>
      </c>
      <c r="O44" s="33">
        <v>171010</v>
      </c>
      <c r="P44" s="33">
        <f>VLOOKUP(F44,Royalty!$A$3:$B$49,2,0)</f>
        <v>3</v>
      </c>
    </row>
    <row r="45" spans="1:16">
      <c r="A45" s="31" t="s">
        <v>89</v>
      </c>
      <c r="B45" s="31" t="s">
        <v>90</v>
      </c>
      <c r="C45" s="31" t="s">
        <v>1026</v>
      </c>
      <c r="D45" s="31" t="s">
        <v>596</v>
      </c>
      <c r="E45" s="31" t="s">
        <v>597</v>
      </c>
      <c r="F45" s="31" t="s">
        <v>604</v>
      </c>
      <c r="G45" s="31" t="s">
        <v>604</v>
      </c>
      <c r="H45" s="33" t="s">
        <v>638</v>
      </c>
      <c r="I45" s="33" t="s">
        <v>638</v>
      </c>
      <c r="J45" s="33">
        <v>171026</v>
      </c>
      <c r="K45" s="33" t="s">
        <v>1035</v>
      </c>
      <c r="L45" s="33" t="s">
        <v>1036</v>
      </c>
      <c r="M45" s="33">
        <v>205</v>
      </c>
      <c r="N45" s="33" t="s">
        <v>1029</v>
      </c>
      <c r="O45" s="33">
        <v>171012</v>
      </c>
      <c r="P45" s="33">
        <f>VLOOKUP(F45,Royalty!$A$3:$B$49,2,0)</f>
        <v>3</v>
      </c>
    </row>
    <row r="46" spans="1:16">
      <c r="A46" s="31" t="s">
        <v>91</v>
      </c>
      <c r="B46" s="31" t="s">
        <v>92</v>
      </c>
      <c r="C46" s="31" t="s">
        <v>1026</v>
      </c>
      <c r="D46" s="31" t="s">
        <v>596</v>
      </c>
      <c r="E46" s="31" t="s">
        <v>605</v>
      </c>
      <c r="F46" s="31" t="s">
        <v>606</v>
      </c>
      <c r="G46" s="31" t="s">
        <v>606</v>
      </c>
      <c r="H46" s="33" t="s">
        <v>638</v>
      </c>
      <c r="I46" s="33" t="s">
        <v>638</v>
      </c>
      <c r="J46" s="33">
        <v>171029</v>
      </c>
      <c r="K46" s="33" t="s">
        <v>1027</v>
      </c>
      <c r="L46" s="33" t="s">
        <v>1034</v>
      </c>
      <c r="M46" s="33">
        <v>5</v>
      </c>
      <c r="N46" s="33" t="s">
        <v>1037</v>
      </c>
      <c r="O46" s="33">
        <v>171033</v>
      </c>
      <c r="P46" s="33">
        <f>VLOOKUP(F46,Royalty!$A$3:$B$49,2,0)</f>
        <v>3</v>
      </c>
    </row>
    <row r="47" spans="1:16">
      <c r="A47" s="31" t="s">
        <v>93</v>
      </c>
      <c r="B47" s="31" t="s">
        <v>94</v>
      </c>
      <c r="C47" s="31" t="s">
        <v>1026</v>
      </c>
      <c r="D47" s="31" t="s">
        <v>596</v>
      </c>
      <c r="E47" s="31" t="s">
        <v>605</v>
      </c>
      <c r="F47" s="31" t="s">
        <v>607</v>
      </c>
      <c r="G47" s="31" t="s">
        <v>607</v>
      </c>
      <c r="H47" s="33" t="s">
        <v>638</v>
      </c>
      <c r="I47" s="33" t="s">
        <v>638</v>
      </c>
      <c r="J47" s="33">
        <v>171032</v>
      </c>
      <c r="K47" s="33" t="s">
        <v>1042</v>
      </c>
      <c r="L47" s="33" t="s">
        <v>1031</v>
      </c>
      <c r="M47" s="33">
        <v>10</v>
      </c>
      <c r="N47" s="33" t="s">
        <v>1043</v>
      </c>
      <c r="O47" s="33">
        <v>171031</v>
      </c>
      <c r="P47" s="33">
        <f>VLOOKUP(F47,Royalty!$A$3:$B$49,2,0)</f>
        <v>2</v>
      </c>
    </row>
    <row r="48" spans="1:16">
      <c r="A48" s="31" t="s">
        <v>95</v>
      </c>
      <c r="B48" s="31" t="s">
        <v>96</v>
      </c>
      <c r="C48" s="31" t="s">
        <v>1026</v>
      </c>
      <c r="D48" s="31" t="s">
        <v>596</v>
      </c>
      <c r="E48" s="31" t="s">
        <v>608</v>
      </c>
      <c r="F48" s="31" t="s">
        <v>609</v>
      </c>
      <c r="G48" s="31" t="s">
        <v>609</v>
      </c>
      <c r="H48" s="33" t="s">
        <v>638</v>
      </c>
      <c r="I48" s="33" t="s">
        <v>638</v>
      </c>
      <c r="J48" s="33">
        <v>171036</v>
      </c>
      <c r="K48" s="33" t="s">
        <v>1027</v>
      </c>
      <c r="L48" s="33" t="s">
        <v>1034</v>
      </c>
      <c r="M48" s="33">
        <v>5</v>
      </c>
      <c r="N48" s="33" t="s">
        <v>1037</v>
      </c>
      <c r="O48" s="33">
        <v>171040</v>
      </c>
      <c r="P48" s="33">
        <f>VLOOKUP(F48,Royalty!$A$3:$B$49,2,0)</f>
        <v>3</v>
      </c>
    </row>
    <row r="49" spans="1:16">
      <c r="A49" s="31" t="s">
        <v>97</v>
      </c>
      <c r="B49" s="31" t="s">
        <v>98</v>
      </c>
      <c r="C49" s="31" t="s">
        <v>1026</v>
      </c>
      <c r="D49" s="31" t="s">
        <v>596</v>
      </c>
      <c r="E49" s="31" t="s">
        <v>608</v>
      </c>
      <c r="F49" s="31" t="s">
        <v>610</v>
      </c>
      <c r="G49" s="31" t="s">
        <v>610</v>
      </c>
      <c r="H49" s="33" t="s">
        <v>638</v>
      </c>
      <c r="I49" s="33" t="s">
        <v>638</v>
      </c>
      <c r="J49" s="33">
        <v>171039</v>
      </c>
      <c r="K49" s="33" t="s">
        <v>1042</v>
      </c>
      <c r="L49" s="33" t="s">
        <v>1031</v>
      </c>
      <c r="M49" s="33">
        <v>10</v>
      </c>
      <c r="N49" s="33" t="s">
        <v>1043</v>
      </c>
      <c r="O49" s="33">
        <v>171038</v>
      </c>
      <c r="P49" s="33">
        <f>VLOOKUP(F49,Royalty!$A$3:$B$49,2,0)</f>
        <v>3</v>
      </c>
    </row>
    <row r="50" spans="1:16">
      <c r="A50" s="31" t="s">
        <v>99</v>
      </c>
      <c r="B50" s="31" t="s">
        <v>100</v>
      </c>
      <c r="C50" s="31" t="s">
        <v>1026</v>
      </c>
      <c r="D50" s="31" t="s">
        <v>596</v>
      </c>
      <c r="E50" s="31" t="s">
        <v>597</v>
      </c>
      <c r="F50" s="31" t="s">
        <v>604</v>
      </c>
      <c r="G50" s="31" t="s">
        <v>604</v>
      </c>
      <c r="H50" s="33" t="s">
        <v>638</v>
      </c>
      <c r="I50" s="33" t="s">
        <v>638</v>
      </c>
      <c r="J50" s="33">
        <v>171042</v>
      </c>
      <c r="K50" s="33" t="s">
        <v>1027</v>
      </c>
      <c r="L50" s="33" t="s">
        <v>1034</v>
      </c>
      <c r="M50" s="33">
        <v>5</v>
      </c>
      <c r="N50" s="33" t="s">
        <v>1029</v>
      </c>
      <c r="O50" s="33">
        <v>171008</v>
      </c>
      <c r="P50" s="33">
        <f>VLOOKUP(F50,Royalty!$A$3:$B$49,2,0)</f>
        <v>3</v>
      </c>
    </row>
    <row r="51" spans="1:16" ht="15.75">
      <c r="A51" s="31" t="s">
        <v>101</v>
      </c>
      <c r="B51" s="31" t="s">
        <v>102</v>
      </c>
      <c r="C51" s="31" t="s">
        <v>1026</v>
      </c>
      <c r="D51" s="31" t="s">
        <v>599</v>
      </c>
      <c r="E51" s="31" t="s">
        <v>611</v>
      </c>
      <c r="F51" s="32" t="s">
        <v>640</v>
      </c>
      <c r="G51" s="32" t="s">
        <v>640</v>
      </c>
      <c r="H51" s="33" t="s">
        <v>638</v>
      </c>
      <c r="I51" s="33" t="s">
        <v>638</v>
      </c>
      <c r="J51" s="33">
        <v>172003</v>
      </c>
      <c r="K51" s="33" t="s">
        <v>1042</v>
      </c>
      <c r="L51" s="33" t="s">
        <v>1031</v>
      </c>
      <c r="M51" s="33">
        <v>10</v>
      </c>
      <c r="N51" s="33" t="s">
        <v>1043</v>
      </c>
      <c r="O51" s="33">
        <v>172001</v>
      </c>
      <c r="P51" s="33">
        <f>VLOOKUP(F51,Royalty!$A$3:$B$49,2,0)</f>
        <v>3</v>
      </c>
    </row>
    <row r="52" spans="1:16">
      <c r="A52" s="31" t="s">
        <v>103</v>
      </c>
      <c r="B52" s="31" t="s">
        <v>104</v>
      </c>
      <c r="C52" s="31" t="s">
        <v>1026</v>
      </c>
      <c r="D52" s="31" t="s">
        <v>599</v>
      </c>
      <c r="E52" s="31" t="s">
        <v>613</v>
      </c>
      <c r="F52" s="31" t="s">
        <v>641</v>
      </c>
      <c r="G52" s="31" t="s">
        <v>641</v>
      </c>
      <c r="H52" s="33" t="s">
        <v>638</v>
      </c>
      <c r="I52" s="33" t="s">
        <v>638</v>
      </c>
      <c r="J52" s="33">
        <v>172006</v>
      </c>
      <c r="K52" s="33" t="s">
        <v>1030</v>
      </c>
      <c r="L52" s="33" t="s">
        <v>1033</v>
      </c>
      <c r="M52" s="33">
        <v>6</v>
      </c>
      <c r="N52" s="33" t="s">
        <v>1029</v>
      </c>
      <c r="O52" s="33">
        <v>172016</v>
      </c>
      <c r="P52" s="33">
        <f>VLOOKUP(F52,Royalty!$A$3:$B$49,2,0)</f>
        <v>2</v>
      </c>
    </row>
    <row r="53" spans="1:16">
      <c r="A53" s="31" t="s">
        <v>105</v>
      </c>
      <c r="B53" s="31" t="s">
        <v>106</v>
      </c>
      <c r="C53" s="31" t="s">
        <v>1026</v>
      </c>
      <c r="D53" s="31" t="s">
        <v>599</v>
      </c>
      <c r="E53" s="31" t="s">
        <v>613</v>
      </c>
      <c r="F53" s="31" t="s">
        <v>642</v>
      </c>
      <c r="G53" s="31" t="s">
        <v>642</v>
      </c>
      <c r="H53" s="33" t="s">
        <v>638</v>
      </c>
      <c r="I53" s="33" t="s">
        <v>638</v>
      </c>
      <c r="J53" s="33">
        <v>172018</v>
      </c>
      <c r="K53" s="33" t="s">
        <v>1030</v>
      </c>
      <c r="L53" s="33" t="s">
        <v>1033</v>
      </c>
      <c r="M53" s="33">
        <v>6</v>
      </c>
      <c r="N53" s="33" t="s">
        <v>1029</v>
      </c>
      <c r="O53" s="33">
        <v>172015</v>
      </c>
      <c r="P53" s="33"/>
    </row>
    <row r="54" spans="1:16">
      <c r="A54" s="31" t="s">
        <v>107</v>
      </c>
      <c r="B54" s="31" t="s">
        <v>108</v>
      </c>
      <c r="C54" s="31" t="s">
        <v>1026</v>
      </c>
      <c r="D54" s="31" t="s">
        <v>599</v>
      </c>
      <c r="E54" s="31" t="s">
        <v>613</v>
      </c>
      <c r="F54" s="31" t="s">
        <v>643</v>
      </c>
      <c r="G54" s="31" t="s">
        <v>643</v>
      </c>
      <c r="H54" s="33" t="s">
        <v>638</v>
      </c>
      <c r="I54" s="33" t="s">
        <v>638</v>
      </c>
      <c r="J54" s="33">
        <v>172020</v>
      </c>
      <c r="K54" s="33" t="s">
        <v>1030</v>
      </c>
      <c r="L54" s="33" t="s">
        <v>1033</v>
      </c>
      <c r="M54" s="33">
        <v>6</v>
      </c>
      <c r="N54" s="33" t="s">
        <v>1029</v>
      </c>
      <c r="O54" s="33">
        <v>172015</v>
      </c>
      <c r="P54" s="33">
        <f>VLOOKUP(F54,Royalty!$A$3:$B$49,2,0)</f>
        <v>3</v>
      </c>
    </row>
    <row r="55" spans="1:16">
      <c r="A55" s="31" t="s">
        <v>109</v>
      </c>
      <c r="B55" s="31" t="s">
        <v>110</v>
      </c>
      <c r="C55" s="31" t="s">
        <v>1026</v>
      </c>
      <c r="D55" s="31" t="s">
        <v>599</v>
      </c>
      <c r="E55" s="31" t="s">
        <v>634</v>
      </c>
      <c r="F55" s="31" t="s">
        <v>644</v>
      </c>
      <c r="G55" s="31" t="s">
        <v>644</v>
      </c>
      <c r="H55" s="33" t="s">
        <v>638</v>
      </c>
      <c r="I55" s="33" t="s">
        <v>638</v>
      </c>
      <c r="J55" s="33">
        <v>172032</v>
      </c>
      <c r="K55" s="33" t="s">
        <v>1032</v>
      </c>
      <c r="L55" s="33" t="s">
        <v>1033</v>
      </c>
      <c r="M55" s="33">
        <v>6</v>
      </c>
      <c r="N55" s="33" t="s">
        <v>1029</v>
      </c>
      <c r="O55" s="33">
        <v>172032</v>
      </c>
      <c r="P55" s="33"/>
    </row>
    <row r="56" spans="1:16">
      <c r="A56" s="31" t="s">
        <v>111</v>
      </c>
      <c r="B56" s="31" t="s">
        <v>112</v>
      </c>
      <c r="C56" s="31" t="s">
        <v>1026</v>
      </c>
      <c r="D56" s="31" t="s">
        <v>599</v>
      </c>
      <c r="E56" s="31" t="s">
        <v>608</v>
      </c>
      <c r="F56" s="31" t="s">
        <v>618</v>
      </c>
      <c r="G56" s="31" t="s">
        <v>618</v>
      </c>
      <c r="H56" s="33" t="s">
        <v>638</v>
      </c>
      <c r="I56" s="33" t="s">
        <v>638</v>
      </c>
      <c r="J56" s="33">
        <v>172036</v>
      </c>
      <c r="K56" s="33" t="s">
        <v>1032</v>
      </c>
      <c r="L56" s="33" t="s">
        <v>1033</v>
      </c>
      <c r="M56" s="33">
        <v>6</v>
      </c>
      <c r="N56" s="33" t="s">
        <v>1037</v>
      </c>
      <c r="O56" s="33">
        <v>171039</v>
      </c>
      <c r="P56" s="33">
        <f>VLOOKUP(F56,Royalty!$A$3:$B$49,2,0)</f>
        <v>3</v>
      </c>
    </row>
    <row r="57" spans="1:16">
      <c r="A57" s="31" t="s">
        <v>113</v>
      </c>
      <c r="B57" s="31" t="s">
        <v>114</v>
      </c>
      <c r="C57" s="31" t="s">
        <v>1026</v>
      </c>
      <c r="D57" s="31" t="s">
        <v>596</v>
      </c>
      <c r="E57" s="31" t="s">
        <v>597</v>
      </c>
      <c r="F57" s="31" t="s">
        <v>645</v>
      </c>
      <c r="G57" s="31" t="s">
        <v>645</v>
      </c>
      <c r="H57" s="33" t="s">
        <v>638</v>
      </c>
      <c r="I57" s="33" t="s">
        <v>638</v>
      </c>
      <c r="J57" s="33">
        <v>171002</v>
      </c>
      <c r="K57" s="33" t="s">
        <v>1035</v>
      </c>
      <c r="L57" s="33" t="s">
        <v>1036</v>
      </c>
      <c r="M57" s="33">
        <v>205</v>
      </c>
      <c r="N57" s="33" t="s">
        <v>1029</v>
      </c>
      <c r="O57" s="33">
        <v>171009</v>
      </c>
      <c r="P57" s="33">
        <f>VLOOKUP(F57,Royalty!$A$3:$B$49,2,0)</f>
        <v>3</v>
      </c>
    </row>
    <row r="58" spans="1:16">
      <c r="A58" s="31" t="s">
        <v>115</v>
      </c>
      <c r="B58" s="31" t="s">
        <v>116</v>
      </c>
      <c r="C58" s="31" t="s">
        <v>1026</v>
      </c>
      <c r="D58" s="31" t="s">
        <v>596</v>
      </c>
      <c r="E58" s="31" t="s">
        <v>597</v>
      </c>
      <c r="F58" s="31" t="s">
        <v>646</v>
      </c>
      <c r="G58" s="31" t="s">
        <v>646</v>
      </c>
      <c r="H58" s="33" t="s">
        <v>638</v>
      </c>
      <c r="I58" s="33" t="s">
        <v>638</v>
      </c>
      <c r="J58" s="33">
        <v>171004</v>
      </c>
      <c r="K58" s="33" t="s">
        <v>1027</v>
      </c>
      <c r="L58" s="33" t="s">
        <v>1034</v>
      </c>
      <c r="M58" s="33">
        <v>5</v>
      </c>
      <c r="N58" s="33" t="s">
        <v>1029</v>
      </c>
      <c r="O58" s="33">
        <v>0</v>
      </c>
      <c r="P58" s="33"/>
    </row>
    <row r="59" spans="1:16">
      <c r="A59" s="31" t="s">
        <v>117</v>
      </c>
      <c r="B59" s="31" t="s">
        <v>118</v>
      </c>
      <c r="C59" s="31" t="s">
        <v>1026</v>
      </c>
      <c r="D59" s="31" t="s">
        <v>596</v>
      </c>
      <c r="E59" s="31" t="s">
        <v>597</v>
      </c>
      <c r="F59" s="31" t="s">
        <v>598</v>
      </c>
      <c r="G59" s="31" t="s">
        <v>598</v>
      </c>
      <c r="H59" s="33" t="s">
        <v>638</v>
      </c>
      <c r="I59" s="33" t="s">
        <v>638</v>
      </c>
      <c r="J59" s="33">
        <v>171007</v>
      </c>
      <c r="K59" s="33" t="s">
        <v>1042</v>
      </c>
      <c r="L59" s="33" t="s">
        <v>1031</v>
      </c>
      <c r="M59" s="33">
        <v>10</v>
      </c>
      <c r="N59" s="33" t="s">
        <v>1043</v>
      </c>
      <c r="O59" s="33">
        <v>0</v>
      </c>
      <c r="P59" s="33">
        <f>VLOOKUP(F59,Royalty!$A$3:$B$49,2,0)</f>
        <v>2</v>
      </c>
    </row>
    <row r="60" spans="1:16">
      <c r="A60" s="31" t="s">
        <v>119</v>
      </c>
      <c r="B60" s="31" t="s">
        <v>120</v>
      </c>
      <c r="C60" s="31" t="s">
        <v>1026</v>
      </c>
      <c r="D60" s="31" t="s">
        <v>596</v>
      </c>
      <c r="E60" s="31" t="s">
        <v>597</v>
      </c>
      <c r="F60" s="31" t="s">
        <v>647</v>
      </c>
      <c r="G60" s="31" t="s">
        <v>647</v>
      </c>
      <c r="H60" s="33" t="s">
        <v>638</v>
      </c>
      <c r="I60" s="33" t="s">
        <v>638</v>
      </c>
      <c r="J60" s="33">
        <v>171009</v>
      </c>
      <c r="K60" s="33" t="s">
        <v>1032</v>
      </c>
      <c r="L60" s="33" t="s">
        <v>1033</v>
      </c>
      <c r="M60" s="33">
        <v>6</v>
      </c>
      <c r="N60" s="33" t="s">
        <v>1029</v>
      </c>
      <c r="O60" s="33">
        <v>0</v>
      </c>
      <c r="P60" s="33">
        <f>VLOOKUP(F60,Royalty!$A$3:$B$49,2,0)</f>
        <v>2</v>
      </c>
    </row>
    <row r="61" spans="1:16">
      <c r="A61" s="31" t="s">
        <v>121</v>
      </c>
      <c r="B61" s="31" t="s">
        <v>122</v>
      </c>
      <c r="C61" s="31" t="s">
        <v>1026</v>
      </c>
      <c r="D61" s="31" t="s">
        <v>596</v>
      </c>
      <c r="E61" s="31" t="s">
        <v>597</v>
      </c>
      <c r="F61" s="31" t="s">
        <v>621</v>
      </c>
      <c r="G61" s="31" t="s">
        <v>621</v>
      </c>
      <c r="H61" s="33" t="s">
        <v>638</v>
      </c>
      <c r="I61" s="33" t="s">
        <v>638</v>
      </c>
      <c r="J61" s="33">
        <v>171012</v>
      </c>
      <c r="K61" s="33" t="s">
        <v>1032</v>
      </c>
      <c r="L61" s="33" t="s">
        <v>1033</v>
      </c>
      <c r="M61" s="33">
        <v>1</v>
      </c>
      <c r="N61" s="33" t="s">
        <v>1029</v>
      </c>
      <c r="O61" s="33">
        <v>0</v>
      </c>
      <c r="P61" s="33">
        <f>VLOOKUP(F61,Royalty!$A$3:$B$49,2,0)</f>
        <v>2</v>
      </c>
    </row>
    <row r="62" spans="1:16">
      <c r="A62" s="31" t="s">
        <v>123</v>
      </c>
      <c r="B62" s="31" t="s">
        <v>124</v>
      </c>
      <c r="C62" s="31" t="s">
        <v>1026</v>
      </c>
      <c r="D62" s="31" t="s">
        <v>599</v>
      </c>
      <c r="E62" s="31" t="s">
        <v>648</v>
      </c>
      <c r="F62" s="31" t="s">
        <v>649</v>
      </c>
      <c r="G62" s="31" t="s">
        <v>649</v>
      </c>
      <c r="H62" s="33" t="s">
        <v>638</v>
      </c>
      <c r="I62" s="33" t="s">
        <v>638</v>
      </c>
      <c r="J62" s="33">
        <v>172029</v>
      </c>
      <c r="K62" s="33" t="s">
        <v>1035</v>
      </c>
      <c r="L62" s="33" t="s">
        <v>1036</v>
      </c>
      <c r="M62" s="33">
        <v>205</v>
      </c>
      <c r="N62" s="33" t="s">
        <v>1029</v>
      </c>
      <c r="O62" s="33">
        <v>172029</v>
      </c>
      <c r="P62" s="33">
        <v>0</v>
      </c>
    </row>
    <row r="63" spans="1:16">
      <c r="A63" s="31" t="s">
        <v>125</v>
      </c>
      <c r="B63" s="31" t="s">
        <v>126</v>
      </c>
      <c r="C63" s="31" t="s">
        <v>1026</v>
      </c>
      <c r="D63" s="31" t="s">
        <v>599</v>
      </c>
      <c r="E63" s="31" t="s">
        <v>648</v>
      </c>
      <c r="F63" s="31" t="s">
        <v>649</v>
      </c>
      <c r="G63" s="31" t="s">
        <v>649</v>
      </c>
      <c r="H63" s="33" t="s">
        <v>638</v>
      </c>
      <c r="I63" s="33" t="s">
        <v>638</v>
      </c>
      <c r="J63" s="33">
        <v>172031</v>
      </c>
      <c r="K63" s="33" t="s">
        <v>1035</v>
      </c>
      <c r="L63" s="33" t="s">
        <v>1036</v>
      </c>
      <c r="M63" s="33">
        <v>205</v>
      </c>
      <c r="N63" s="33" t="s">
        <v>1029</v>
      </c>
      <c r="O63" s="33">
        <v>172031</v>
      </c>
      <c r="P63" s="33">
        <v>0</v>
      </c>
    </row>
    <row r="64" spans="1:16">
      <c r="A64" s="31" t="s">
        <v>127</v>
      </c>
      <c r="B64" s="31" t="s">
        <v>128</v>
      </c>
      <c r="C64" s="31" t="s">
        <v>1026</v>
      </c>
      <c r="D64" s="31" t="s">
        <v>599</v>
      </c>
      <c r="E64" s="31" t="s">
        <v>648</v>
      </c>
      <c r="F64" s="31" t="s">
        <v>649</v>
      </c>
      <c r="G64" s="31" t="s">
        <v>649</v>
      </c>
      <c r="H64" s="33" t="s">
        <v>638</v>
      </c>
      <c r="I64" s="33" t="s">
        <v>638</v>
      </c>
      <c r="J64" s="33">
        <v>172028</v>
      </c>
      <c r="K64" s="33" t="s">
        <v>1050</v>
      </c>
      <c r="L64" s="33" t="s">
        <v>1051</v>
      </c>
      <c r="M64" s="33">
        <v>25</v>
      </c>
      <c r="N64" s="33" t="s">
        <v>1029</v>
      </c>
      <c r="O64" s="33">
        <v>172028</v>
      </c>
      <c r="P64" s="33">
        <v>0</v>
      </c>
    </row>
    <row r="65" spans="1:16">
      <c r="A65" s="31" t="s">
        <v>129</v>
      </c>
      <c r="B65" s="31" t="s">
        <v>130</v>
      </c>
      <c r="C65" s="31" t="s">
        <v>1026</v>
      </c>
      <c r="D65" s="31" t="s">
        <v>596</v>
      </c>
      <c r="E65" s="31" t="s">
        <v>597</v>
      </c>
      <c r="F65" s="31" t="s">
        <v>645</v>
      </c>
      <c r="G65" s="31" t="s">
        <v>645</v>
      </c>
      <c r="H65" s="33" t="s">
        <v>638</v>
      </c>
      <c r="I65" s="33" t="s">
        <v>638</v>
      </c>
      <c r="J65" s="33">
        <v>171001</v>
      </c>
      <c r="K65" s="33" t="s">
        <v>1027</v>
      </c>
      <c r="L65" s="33" t="s">
        <v>1034</v>
      </c>
      <c r="M65" s="33">
        <v>5</v>
      </c>
      <c r="N65" s="33" t="s">
        <v>1029</v>
      </c>
      <c r="O65" s="33">
        <v>171006</v>
      </c>
      <c r="P65" s="33">
        <f>VLOOKUP(F65,Royalty!$A$3:$B$49,2,0)</f>
        <v>3</v>
      </c>
    </row>
    <row r="66" spans="1:16">
      <c r="A66" s="31" t="s">
        <v>131</v>
      </c>
      <c r="B66" s="31" t="s">
        <v>132</v>
      </c>
      <c r="C66" s="31" t="s">
        <v>1026</v>
      </c>
      <c r="D66" s="31" t="s">
        <v>596</v>
      </c>
      <c r="E66" s="31" t="s">
        <v>597</v>
      </c>
      <c r="F66" s="31" t="s">
        <v>646</v>
      </c>
      <c r="G66" s="31" t="s">
        <v>646</v>
      </c>
      <c r="H66" s="33" t="s">
        <v>638</v>
      </c>
      <c r="I66" s="33" t="s">
        <v>638</v>
      </c>
      <c r="J66" s="33">
        <v>171003</v>
      </c>
      <c r="K66" s="33" t="s">
        <v>1042</v>
      </c>
      <c r="L66" s="33" t="s">
        <v>1031</v>
      </c>
      <c r="M66" s="33">
        <v>10</v>
      </c>
      <c r="N66" s="33" t="s">
        <v>1043</v>
      </c>
      <c r="O66" s="33">
        <v>171005</v>
      </c>
      <c r="P66" s="33"/>
    </row>
    <row r="67" spans="1:16">
      <c r="A67" s="31" t="s">
        <v>133</v>
      </c>
      <c r="B67" s="31" t="s">
        <v>134</v>
      </c>
      <c r="C67" s="31" t="s">
        <v>1026</v>
      </c>
      <c r="D67" s="31" t="s">
        <v>596</v>
      </c>
      <c r="E67" s="31" t="s">
        <v>597</v>
      </c>
      <c r="F67" s="31" t="s">
        <v>598</v>
      </c>
      <c r="G67" s="31" t="s">
        <v>598</v>
      </c>
      <c r="H67" s="33" t="s">
        <v>638</v>
      </c>
      <c r="I67" s="33" t="s">
        <v>638</v>
      </c>
      <c r="J67" s="33">
        <v>171006</v>
      </c>
      <c r="K67" s="33" t="s">
        <v>1052</v>
      </c>
      <c r="L67" s="33" t="s">
        <v>1036</v>
      </c>
      <c r="M67" s="33">
        <v>200</v>
      </c>
      <c r="N67" s="33" t="s">
        <v>1029</v>
      </c>
      <c r="O67" s="33">
        <v>171007</v>
      </c>
      <c r="P67" s="33">
        <f>VLOOKUP(F67,Royalty!$A$3:$B$49,2,0)</f>
        <v>2</v>
      </c>
    </row>
    <row r="68" spans="1:16">
      <c r="A68" s="31" t="s">
        <v>135</v>
      </c>
      <c r="B68" s="31" t="s">
        <v>136</v>
      </c>
      <c r="C68" s="31" t="s">
        <v>1026</v>
      </c>
      <c r="D68" s="31" t="s">
        <v>596</v>
      </c>
      <c r="E68" s="31" t="s">
        <v>597</v>
      </c>
      <c r="F68" s="31" t="s">
        <v>647</v>
      </c>
      <c r="G68" s="31" t="s">
        <v>647</v>
      </c>
      <c r="H68" s="33" t="s">
        <v>638</v>
      </c>
      <c r="I68" s="33" t="s">
        <v>638</v>
      </c>
      <c r="J68" s="33">
        <v>171008</v>
      </c>
      <c r="K68" s="33" t="s">
        <v>1027</v>
      </c>
      <c r="L68" s="33" t="s">
        <v>1034</v>
      </c>
      <c r="M68" s="33">
        <v>5</v>
      </c>
      <c r="N68" s="33" t="s">
        <v>1029</v>
      </c>
      <c r="O68" s="33">
        <v>171001</v>
      </c>
      <c r="P68" s="33">
        <f>VLOOKUP(F68,Royalty!$A$3:$B$49,2,0)</f>
        <v>2</v>
      </c>
    </row>
    <row r="69" spans="1:16">
      <c r="A69" s="31" t="s">
        <v>137</v>
      </c>
      <c r="B69" s="31" t="s">
        <v>138</v>
      </c>
      <c r="C69" s="31" t="s">
        <v>1026</v>
      </c>
      <c r="D69" s="31" t="s">
        <v>596</v>
      </c>
      <c r="E69" s="31" t="s">
        <v>597</v>
      </c>
      <c r="F69" s="31" t="s">
        <v>621</v>
      </c>
      <c r="G69" s="31" t="s">
        <v>621</v>
      </c>
      <c r="H69" s="33" t="s">
        <v>638</v>
      </c>
      <c r="I69" s="33" t="s">
        <v>638</v>
      </c>
      <c r="J69" s="33">
        <v>171011</v>
      </c>
      <c r="K69" s="33" t="s">
        <v>1035</v>
      </c>
      <c r="L69" s="33" t="s">
        <v>1036</v>
      </c>
      <c r="M69" s="33">
        <v>205</v>
      </c>
      <c r="N69" s="33" t="s">
        <v>1029</v>
      </c>
      <c r="O69" s="33">
        <v>171002</v>
      </c>
      <c r="P69" s="33">
        <f>VLOOKUP(F69,Royalty!$A$3:$B$49,2,0)</f>
        <v>2</v>
      </c>
    </row>
    <row r="70" spans="1:16">
      <c r="A70" s="31" t="s">
        <v>139</v>
      </c>
      <c r="B70" s="31" t="s">
        <v>140</v>
      </c>
      <c r="C70" s="31" t="s">
        <v>1026</v>
      </c>
      <c r="D70" s="31" t="s">
        <v>596</v>
      </c>
      <c r="E70" s="31" t="s">
        <v>597</v>
      </c>
      <c r="F70" s="31" t="s">
        <v>602</v>
      </c>
      <c r="G70" s="31" t="s">
        <v>602</v>
      </c>
      <c r="H70" s="33" t="s">
        <v>638</v>
      </c>
      <c r="I70" s="33" t="s">
        <v>638</v>
      </c>
      <c r="J70" s="33">
        <v>171016</v>
      </c>
      <c r="K70" s="33" t="s">
        <v>1027</v>
      </c>
      <c r="L70" s="33" t="s">
        <v>1034</v>
      </c>
      <c r="M70" s="33">
        <v>5</v>
      </c>
      <c r="N70" s="33" t="s">
        <v>1029</v>
      </c>
      <c r="O70" s="33">
        <v>171021</v>
      </c>
      <c r="P70" s="33">
        <f>VLOOKUP(F70,Royalty!$A$3:$B$49,2,0)</f>
        <v>2</v>
      </c>
    </row>
    <row r="71" spans="1:16">
      <c r="A71" s="31" t="s">
        <v>141</v>
      </c>
      <c r="B71" s="31" t="s">
        <v>142</v>
      </c>
      <c r="C71" s="31" t="s">
        <v>1026</v>
      </c>
      <c r="D71" s="31" t="s">
        <v>596</v>
      </c>
      <c r="E71" s="31" t="s">
        <v>597</v>
      </c>
      <c r="F71" s="31" t="s">
        <v>639</v>
      </c>
      <c r="G71" s="31" t="s">
        <v>639</v>
      </c>
      <c r="H71" s="33" t="s">
        <v>638</v>
      </c>
      <c r="I71" s="33" t="s">
        <v>638</v>
      </c>
      <c r="J71" s="33">
        <v>171021</v>
      </c>
      <c r="K71" s="33" t="s">
        <v>1032</v>
      </c>
      <c r="L71" s="33" t="s">
        <v>1033</v>
      </c>
      <c r="M71" s="33">
        <v>1</v>
      </c>
      <c r="N71" s="33" t="s">
        <v>1029</v>
      </c>
      <c r="O71" s="33">
        <v>171020</v>
      </c>
      <c r="P71" s="33">
        <f>VLOOKUP(F71,Royalty!$A$3:$B$49,2,0)</f>
        <v>3</v>
      </c>
    </row>
    <row r="72" spans="1:16">
      <c r="A72" s="31" t="s">
        <v>143</v>
      </c>
      <c r="B72" s="31" t="s">
        <v>144</v>
      </c>
      <c r="C72" s="31" t="s">
        <v>1026</v>
      </c>
      <c r="D72" s="31" t="s">
        <v>596</v>
      </c>
      <c r="E72" s="31" t="s">
        <v>597</v>
      </c>
      <c r="F72" s="31" t="s">
        <v>603</v>
      </c>
      <c r="G72" s="31" t="s">
        <v>603</v>
      </c>
      <c r="H72" s="33" t="s">
        <v>638</v>
      </c>
      <c r="I72" s="33" t="s">
        <v>638</v>
      </c>
      <c r="J72" s="33">
        <v>171024</v>
      </c>
      <c r="K72" s="33" t="s">
        <v>1027</v>
      </c>
      <c r="L72" s="33" t="s">
        <v>1034</v>
      </c>
      <c r="M72" s="33">
        <v>5</v>
      </c>
      <c r="N72" s="33" t="s">
        <v>1029</v>
      </c>
      <c r="O72" s="33">
        <v>171016</v>
      </c>
      <c r="P72" s="33">
        <f>VLOOKUP(F72,Royalty!$A$3:$B$49,2,0)</f>
        <v>3</v>
      </c>
    </row>
    <row r="73" spans="1:16">
      <c r="A73" s="31" t="s">
        <v>145</v>
      </c>
      <c r="B73" s="31" t="s">
        <v>146</v>
      </c>
      <c r="C73" s="31" t="s">
        <v>1026</v>
      </c>
      <c r="D73" s="31" t="s">
        <v>596</v>
      </c>
      <c r="E73" s="31" t="s">
        <v>597</v>
      </c>
      <c r="F73" s="31" t="s">
        <v>604</v>
      </c>
      <c r="G73" s="31" t="s">
        <v>604</v>
      </c>
      <c r="H73" s="33" t="s">
        <v>638</v>
      </c>
      <c r="I73" s="33" t="s">
        <v>638</v>
      </c>
      <c r="J73" s="33">
        <v>171027</v>
      </c>
      <c r="K73" s="33" t="s">
        <v>1042</v>
      </c>
      <c r="L73" s="33" t="s">
        <v>1031</v>
      </c>
      <c r="M73" s="33">
        <v>10</v>
      </c>
      <c r="N73" s="33" t="s">
        <v>1043</v>
      </c>
      <c r="O73" s="33">
        <v>171014</v>
      </c>
      <c r="P73" s="33">
        <f>VLOOKUP(F73,Royalty!$A$3:$B$49,2,0)</f>
        <v>3</v>
      </c>
    </row>
    <row r="74" spans="1:16">
      <c r="A74" s="31" t="s">
        <v>147</v>
      </c>
      <c r="B74" s="31" t="s">
        <v>148</v>
      </c>
      <c r="C74" s="31" t="s">
        <v>1026</v>
      </c>
      <c r="D74" s="31" t="s">
        <v>596</v>
      </c>
      <c r="E74" s="31" t="s">
        <v>605</v>
      </c>
      <c r="F74" s="31" t="s">
        <v>606</v>
      </c>
      <c r="G74" s="31" t="s">
        <v>606</v>
      </c>
      <c r="H74" s="33" t="s">
        <v>638</v>
      </c>
      <c r="I74" s="33" t="s">
        <v>638</v>
      </c>
      <c r="J74" s="33">
        <v>171030</v>
      </c>
      <c r="K74" s="33" t="s">
        <v>1032</v>
      </c>
      <c r="L74" s="33" t="s">
        <v>1033</v>
      </c>
      <c r="M74" s="33">
        <v>6</v>
      </c>
      <c r="N74" s="33" t="s">
        <v>1037</v>
      </c>
      <c r="O74" s="33">
        <v>171032</v>
      </c>
      <c r="P74" s="33">
        <f>VLOOKUP(F74,Royalty!$A$3:$B$49,2,0)</f>
        <v>3</v>
      </c>
    </row>
    <row r="75" spans="1:16">
      <c r="A75" s="31" t="s">
        <v>149</v>
      </c>
      <c r="B75" s="31" t="s">
        <v>150</v>
      </c>
      <c r="C75" s="31" t="s">
        <v>1026</v>
      </c>
      <c r="D75" s="31" t="s">
        <v>596</v>
      </c>
      <c r="E75" s="31" t="s">
        <v>605</v>
      </c>
      <c r="F75" s="31" t="s">
        <v>607</v>
      </c>
      <c r="G75" s="31" t="s">
        <v>607</v>
      </c>
      <c r="H75" s="33" t="s">
        <v>638</v>
      </c>
      <c r="I75" s="33" t="s">
        <v>638</v>
      </c>
      <c r="J75" s="33">
        <v>171033</v>
      </c>
      <c r="K75" s="33" t="s">
        <v>1042</v>
      </c>
      <c r="L75" s="33" t="s">
        <v>1031</v>
      </c>
      <c r="M75" s="33">
        <v>1</v>
      </c>
      <c r="N75" s="33" t="s">
        <v>1043</v>
      </c>
      <c r="O75" s="33">
        <v>171044</v>
      </c>
      <c r="P75" s="33">
        <f>VLOOKUP(F75,Royalty!$A$3:$B$49,2,0)</f>
        <v>2</v>
      </c>
    </row>
    <row r="76" spans="1:16">
      <c r="A76" s="31" t="s">
        <v>151</v>
      </c>
      <c r="B76" s="31" t="s">
        <v>152</v>
      </c>
      <c r="C76" s="31" t="s">
        <v>1026</v>
      </c>
      <c r="D76" s="31" t="s">
        <v>596</v>
      </c>
      <c r="E76" s="31" t="s">
        <v>608</v>
      </c>
      <c r="F76" s="31" t="s">
        <v>609</v>
      </c>
      <c r="G76" s="31" t="s">
        <v>609</v>
      </c>
      <c r="H76" s="33" t="s">
        <v>638</v>
      </c>
      <c r="I76" s="33" t="s">
        <v>638</v>
      </c>
      <c r="J76" s="33">
        <v>171037</v>
      </c>
      <c r="K76" s="33" t="s">
        <v>1044</v>
      </c>
      <c r="L76" s="33" t="s">
        <v>1045</v>
      </c>
      <c r="M76" s="33">
        <v>20</v>
      </c>
      <c r="N76" s="33" t="s">
        <v>1037</v>
      </c>
      <c r="O76" s="33">
        <v>0</v>
      </c>
      <c r="P76" s="33">
        <f>VLOOKUP(F76,Royalty!$A$3:$B$49,2,0)</f>
        <v>3</v>
      </c>
    </row>
    <row r="77" spans="1:16">
      <c r="A77" s="31" t="s">
        <v>153</v>
      </c>
      <c r="B77" s="31" t="s">
        <v>154</v>
      </c>
      <c r="C77" s="31" t="s">
        <v>1026</v>
      </c>
      <c r="D77" s="31" t="s">
        <v>596</v>
      </c>
      <c r="E77" s="31" t="s">
        <v>608</v>
      </c>
      <c r="F77" s="31" t="s">
        <v>610</v>
      </c>
      <c r="G77" s="31" t="s">
        <v>610</v>
      </c>
      <c r="H77" s="33" t="s">
        <v>638</v>
      </c>
      <c r="I77" s="33" t="s">
        <v>638</v>
      </c>
      <c r="J77" s="33">
        <v>171040</v>
      </c>
      <c r="K77" s="33" t="s">
        <v>1027</v>
      </c>
      <c r="L77" s="33" t="s">
        <v>1034</v>
      </c>
      <c r="M77" s="33">
        <v>5</v>
      </c>
      <c r="N77" s="33" t="s">
        <v>1037</v>
      </c>
      <c r="O77" s="33">
        <v>171037</v>
      </c>
      <c r="P77" s="33">
        <f>VLOOKUP(F77,Royalty!$A$3:$B$49,2,0)</f>
        <v>3</v>
      </c>
    </row>
    <row r="78" spans="1:16">
      <c r="A78" s="31" t="s">
        <v>155</v>
      </c>
      <c r="B78" s="31" t="s">
        <v>156</v>
      </c>
      <c r="C78" s="31" t="s">
        <v>1026</v>
      </c>
      <c r="D78" s="31" t="s">
        <v>596</v>
      </c>
      <c r="E78" s="31" t="s">
        <v>597</v>
      </c>
      <c r="F78" s="31" t="s">
        <v>604</v>
      </c>
      <c r="G78" s="31" t="s">
        <v>604</v>
      </c>
      <c r="H78" s="33" t="s">
        <v>638</v>
      </c>
      <c r="I78" s="33" t="s">
        <v>638</v>
      </c>
      <c r="J78" s="33">
        <v>171043</v>
      </c>
      <c r="K78" s="33" t="s">
        <v>1032</v>
      </c>
      <c r="L78" s="33" t="s">
        <v>1039</v>
      </c>
      <c r="M78" s="33">
        <v>1</v>
      </c>
      <c r="N78" s="33" t="s">
        <v>1029</v>
      </c>
      <c r="O78" s="33">
        <v>171015</v>
      </c>
      <c r="P78" s="33">
        <f>VLOOKUP(F78,Royalty!$A$3:$B$49,2,0)</f>
        <v>3</v>
      </c>
    </row>
    <row r="79" spans="1:16">
      <c r="A79" s="31" t="s">
        <v>157</v>
      </c>
      <c r="B79" s="31" t="s">
        <v>158</v>
      </c>
      <c r="C79" s="31" t="s">
        <v>1026</v>
      </c>
      <c r="D79" s="31" t="s">
        <v>599</v>
      </c>
      <c r="E79" s="31" t="s">
        <v>613</v>
      </c>
      <c r="F79" s="31" t="s">
        <v>642</v>
      </c>
      <c r="G79" s="31" t="s">
        <v>642</v>
      </c>
      <c r="H79" s="33" t="s">
        <v>638</v>
      </c>
      <c r="I79" s="33" t="s">
        <v>638</v>
      </c>
      <c r="J79" s="33">
        <v>172019</v>
      </c>
      <c r="K79" s="33" t="s">
        <v>1030</v>
      </c>
      <c r="L79" s="33" t="s">
        <v>1033</v>
      </c>
      <c r="M79" s="33">
        <v>6</v>
      </c>
      <c r="N79" s="33" t="s">
        <v>1029</v>
      </c>
      <c r="O79" s="33">
        <v>172017</v>
      </c>
      <c r="P79" s="33"/>
    </row>
    <row r="80" spans="1:16">
      <c r="A80" s="31" t="s">
        <v>159</v>
      </c>
      <c r="B80" s="31" t="s">
        <v>160</v>
      </c>
      <c r="C80" s="31" t="s">
        <v>1026</v>
      </c>
      <c r="D80" s="31" t="s">
        <v>599</v>
      </c>
      <c r="E80" s="31" t="s">
        <v>613</v>
      </c>
      <c r="F80" s="31" t="s">
        <v>643</v>
      </c>
      <c r="G80" s="31" t="s">
        <v>643</v>
      </c>
      <c r="H80" s="33" t="s">
        <v>638</v>
      </c>
      <c r="I80" s="33" t="s">
        <v>638</v>
      </c>
      <c r="J80" s="33">
        <v>172021</v>
      </c>
      <c r="K80" s="33" t="s">
        <v>1032</v>
      </c>
      <c r="L80" s="33" t="s">
        <v>1033</v>
      </c>
      <c r="M80" s="33">
        <v>6</v>
      </c>
      <c r="N80" s="33" t="s">
        <v>1029</v>
      </c>
      <c r="O80" s="33">
        <v>0</v>
      </c>
      <c r="P80" s="33">
        <f>VLOOKUP(F80,Royalty!$A$3:$B$49,2,0)</f>
        <v>3</v>
      </c>
    </row>
    <row r="81" spans="1:16">
      <c r="A81" s="31" t="s">
        <v>161</v>
      </c>
      <c r="B81" s="31" t="s">
        <v>162</v>
      </c>
      <c r="C81" s="31" t="s">
        <v>1026</v>
      </c>
      <c r="D81" s="31" t="s">
        <v>599</v>
      </c>
      <c r="E81" s="31" t="s">
        <v>648</v>
      </c>
      <c r="F81" s="31" t="s">
        <v>649</v>
      </c>
      <c r="G81" s="31" t="s">
        <v>649</v>
      </c>
      <c r="H81" s="33" t="s">
        <v>638</v>
      </c>
      <c r="I81" s="33" t="s">
        <v>638</v>
      </c>
      <c r="J81" s="33">
        <v>172030</v>
      </c>
      <c r="K81" s="33" t="s">
        <v>1027</v>
      </c>
      <c r="L81" s="33" t="s">
        <v>1034</v>
      </c>
      <c r="M81" s="33">
        <v>5</v>
      </c>
      <c r="N81" s="33" t="s">
        <v>1029</v>
      </c>
      <c r="O81" s="33">
        <v>172030</v>
      </c>
      <c r="P81" s="33">
        <v>0</v>
      </c>
    </row>
    <row r="82" spans="1:16">
      <c r="A82" s="31" t="s">
        <v>163</v>
      </c>
      <c r="B82" s="31" t="s">
        <v>164</v>
      </c>
      <c r="C82" s="31" t="s">
        <v>1026</v>
      </c>
      <c r="D82" s="31" t="s">
        <v>599</v>
      </c>
      <c r="E82" s="31" t="s">
        <v>634</v>
      </c>
      <c r="F82" s="31" t="s">
        <v>644</v>
      </c>
      <c r="G82" s="31" t="s">
        <v>644</v>
      </c>
      <c r="H82" s="33" t="s">
        <v>638</v>
      </c>
      <c r="I82" s="33" t="s">
        <v>638</v>
      </c>
      <c r="J82" s="33">
        <v>172033</v>
      </c>
      <c r="K82" s="33" t="s">
        <v>1027</v>
      </c>
      <c r="L82" s="33" t="s">
        <v>1034</v>
      </c>
      <c r="M82" s="33">
        <v>5</v>
      </c>
      <c r="N82" s="33" t="s">
        <v>1029</v>
      </c>
      <c r="O82" s="33">
        <v>172033</v>
      </c>
      <c r="P82" s="33"/>
    </row>
    <row r="83" spans="1:16">
      <c r="A83" s="31" t="s">
        <v>165</v>
      </c>
      <c r="B83" s="31" t="s">
        <v>166</v>
      </c>
      <c r="C83" s="31" t="s">
        <v>1026</v>
      </c>
      <c r="D83" s="31" t="s">
        <v>599</v>
      </c>
      <c r="E83" s="31" t="s">
        <v>608</v>
      </c>
      <c r="F83" s="31" t="s">
        <v>618</v>
      </c>
      <c r="G83" s="31" t="s">
        <v>618</v>
      </c>
      <c r="H83" s="33" t="s">
        <v>638</v>
      </c>
      <c r="I83" s="33" t="s">
        <v>638</v>
      </c>
      <c r="J83" s="33">
        <v>172037</v>
      </c>
      <c r="K83" s="33" t="s">
        <v>1042</v>
      </c>
      <c r="L83" s="33" t="s">
        <v>1031</v>
      </c>
      <c r="M83" s="33">
        <v>10</v>
      </c>
      <c r="N83" s="33" t="s">
        <v>1043</v>
      </c>
      <c r="O83" s="33">
        <v>171035</v>
      </c>
      <c r="P83" s="33">
        <f>VLOOKUP(F83,Royalty!$A$3:$B$49,2,0)</f>
        <v>3</v>
      </c>
    </row>
    <row r="84" spans="1:16" ht="15.75">
      <c r="A84" s="31" t="s">
        <v>167</v>
      </c>
      <c r="B84" s="31" t="s">
        <v>168</v>
      </c>
      <c r="C84" s="31" t="s">
        <v>1026</v>
      </c>
      <c r="D84" s="31" t="s">
        <v>1053</v>
      </c>
      <c r="E84" s="55" t="s">
        <v>596</v>
      </c>
      <c r="F84" s="31" t="s">
        <v>650</v>
      </c>
      <c r="G84" s="31" t="s">
        <v>650</v>
      </c>
      <c r="H84" s="33" t="s">
        <v>638</v>
      </c>
      <c r="I84" s="33" t="s">
        <v>638</v>
      </c>
      <c r="J84" s="33">
        <v>0</v>
      </c>
      <c r="K84" s="33" t="s">
        <v>1032</v>
      </c>
      <c r="L84" s="33" t="s">
        <v>1039</v>
      </c>
      <c r="M84" s="33">
        <v>6</v>
      </c>
      <c r="N84" s="33" t="s">
        <v>1037</v>
      </c>
      <c r="O84" s="33">
        <v>171036</v>
      </c>
      <c r="P84" s="33"/>
    </row>
    <row r="85" spans="1:16" ht="15.75">
      <c r="A85" s="31" t="s">
        <v>169</v>
      </c>
      <c r="B85" s="31" t="s">
        <v>170</v>
      </c>
      <c r="C85" s="31" t="s">
        <v>1026</v>
      </c>
      <c r="D85" s="31" t="s">
        <v>1053</v>
      </c>
      <c r="E85" s="55" t="s">
        <v>596</v>
      </c>
      <c r="F85" s="31" t="s">
        <v>651</v>
      </c>
      <c r="G85" s="31" t="s">
        <v>651</v>
      </c>
      <c r="H85" s="33" t="s">
        <v>638</v>
      </c>
      <c r="I85" s="33" t="s">
        <v>638</v>
      </c>
      <c r="J85" s="33">
        <v>0</v>
      </c>
      <c r="K85" s="33" t="s">
        <v>1042</v>
      </c>
      <c r="L85" s="33" t="s">
        <v>1031</v>
      </c>
      <c r="M85" s="33">
        <v>10</v>
      </c>
      <c r="N85" s="33" t="s">
        <v>1043</v>
      </c>
      <c r="O85" s="33">
        <v>171022</v>
      </c>
      <c r="P85" s="33"/>
    </row>
    <row r="86" spans="1:16">
      <c r="A86" s="31" t="s">
        <v>171</v>
      </c>
      <c r="B86" s="31" t="s">
        <v>76</v>
      </c>
      <c r="C86" s="31" t="s">
        <v>1026</v>
      </c>
      <c r="D86" s="31" t="s">
        <v>599</v>
      </c>
      <c r="E86" s="31" t="s">
        <v>613</v>
      </c>
      <c r="F86" s="31" t="s">
        <v>632</v>
      </c>
      <c r="G86" s="31" t="s">
        <v>632</v>
      </c>
      <c r="H86" s="33" t="s">
        <v>638</v>
      </c>
      <c r="I86" s="33" t="s">
        <v>638</v>
      </c>
      <c r="J86" s="33">
        <v>172015</v>
      </c>
      <c r="K86" s="33" t="s">
        <v>1032</v>
      </c>
      <c r="L86" s="33" t="s">
        <v>1033</v>
      </c>
      <c r="M86" s="33">
        <v>6</v>
      </c>
      <c r="N86" s="33" t="s">
        <v>1029</v>
      </c>
      <c r="O86" s="33">
        <v>172018</v>
      </c>
      <c r="P86" s="33">
        <f>VLOOKUP(F86,Royalty!$A$3:$B$49,2,0)</f>
        <v>2</v>
      </c>
    </row>
    <row r="87" spans="1:16">
      <c r="A87" s="31" t="s">
        <v>172</v>
      </c>
      <c r="B87" s="31" t="s">
        <v>173</v>
      </c>
      <c r="C87" s="31" t="s">
        <v>1026</v>
      </c>
      <c r="D87" s="31" t="s">
        <v>636</v>
      </c>
      <c r="E87" s="31" t="s">
        <v>637</v>
      </c>
      <c r="F87" s="31" t="s">
        <v>638</v>
      </c>
      <c r="G87" s="31" t="s">
        <v>638</v>
      </c>
      <c r="H87" s="33" t="s">
        <v>638</v>
      </c>
      <c r="I87" s="33" t="s">
        <v>638</v>
      </c>
      <c r="J87" s="33">
        <v>0</v>
      </c>
      <c r="K87" s="33" t="s">
        <v>1032</v>
      </c>
      <c r="L87" s="33" t="s">
        <v>1033</v>
      </c>
      <c r="M87" s="33">
        <v>6</v>
      </c>
      <c r="N87" s="33" t="s">
        <v>1029</v>
      </c>
      <c r="O87" s="33">
        <v>0</v>
      </c>
      <c r="P87" s="33"/>
    </row>
    <row r="88" spans="1:16">
      <c r="A88" s="31" t="s">
        <v>174</v>
      </c>
      <c r="B88" s="31" t="s">
        <v>175</v>
      </c>
      <c r="C88" s="31" t="s">
        <v>1026</v>
      </c>
      <c r="D88" s="31" t="s">
        <v>636</v>
      </c>
      <c r="E88" s="31" t="s">
        <v>637</v>
      </c>
      <c r="F88" s="31" t="s">
        <v>638</v>
      </c>
      <c r="G88" s="31" t="s">
        <v>638</v>
      </c>
      <c r="H88" s="33" t="s">
        <v>638</v>
      </c>
      <c r="I88" s="33" t="s">
        <v>638</v>
      </c>
      <c r="J88" s="33">
        <v>0</v>
      </c>
      <c r="K88" s="33" t="s">
        <v>1032</v>
      </c>
      <c r="L88" s="33" t="s">
        <v>1033</v>
      </c>
      <c r="M88" s="33">
        <v>6</v>
      </c>
      <c r="N88" s="33" t="s">
        <v>1029</v>
      </c>
      <c r="O88" s="33">
        <v>0</v>
      </c>
      <c r="P88" s="33"/>
    </row>
    <row r="89" spans="1:16" ht="15.75">
      <c r="A89" s="31" t="s">
        <v>176</v>
      </c>
      <c r="B89" s="31" t="s">
        <v>177</v>
      </c>
      <c r="C89" s="31" t="s">
        <v>1026</v>
      </c>
      <c r="D89" s="31" t="s">
        <v>1053</v>
      </c>
      <c r="E89" s="55" t="s">
        <v>596</v>
      </c>
      <c r="F89" s="31" t="s">
        <v>652</v>
      </c>
      <c r="G89" s="31" t="s">
        <v>652</v>
      </c>
      <c r="H89" s="33" t="s">
        <v>638</v>
      </c>
      <c r="I89" s="33" t="s">
        <v>638</v>
      </c>
      <c r="J89" s="33">
        <v>0</v>
      </c>
      <c r="K89" s="33" t="s">
        <v>1042</v>
      </c>
      <c r="L89" s="33" t="s">
        <v>1031</v>
      </c>
      <c r="M89" s="33">
        <v>10</v>
      </c>
      <c r="N89" s="33" t="s">
        <v>1043</v>
      </c>
      <c r="O89" s="33">
        <v>171031</v>
      </c>
      <c r="P89" s="33"/>
    </row>
    <row r="90" spans="1:16" ht="15.75">
      <c r="A90" s="31" t="s">
        <v>178</v>
      </c>
      <c r="B90" s="31" t="s">
        <v>179</v>
      </c>
      <c r="C90" s="31" t="s">
        <v>1026</v>
      </c>
      <c r="D90" s="31" t="s">
        <v>1053</v>
      </c>
      <c r="E90" s="55" t="s">
        <v>596</v>
      </c>
      <c r="F90" s="31" t="s">
        <v>650</v>
      </c>
      <c r="G90" s="31" t="s">
        <v>650</v>
      </c>
      <c r="H90" s="33" t="s">
        <v>638</v>
      </c>
      <c r="I90" s="33" t="s">
        <v>638</v>
      </c>
      <c r="J90" s="33">
        <v>0</v>
      </c>
      <c r="K90" s="33" t="s">
        <v>1027</v>
      </c>
      <c r="L90" s="33" t="s">
        <v>1034</v>
      </c>
      <c r="M90" s="33">
        <v>5</v>
      </c>
      <c r="N90" s="33" t="s">
        <v>1037</v>
      </c>
      <c r="O90" s="33">
        <v>172037</v>
      </c>
      <c r="P90" s="33"/>
    </row>
    <row r="91" spans="1:16" ht="15.75">
      <c r="A91" s="31" t="s">
        <v>180</v>
      </c>
      <c r="B91" s="31" t="s">
        <v>181</v>
      </c>
      <c r="C91" s="31" t="s">
        <v>1026</v>
      </c>
      <c r="D91" s="31" t="s">
        <v>1053</v>
      </c>
      <c r="E91" s="55" t="s">
        <v>596</v>
      </c>
      <c r="F91" s="31" t="s">
        <v>651</v>
      </c>
      <c r="G91" s="31" t="s">
        <v>651</v>
      </c>
      <c r="H91" s="33" t="s">
        <v>638</v>
      </c>
      <c r="I91" s="33" t="s">
        <v>638</v>
      </c>
      <c r="J91" s="33">
        <v>0</v>
      </c>
      <c r="K91" s="33" t="s">
        <v>1050</v>
      </c>
      <c r="L91" s="33" t="s">
        <v>1051</v>
      </c>
      <c r="M91" s="33">
        <v>25</v>
      </c>
      <c r="N91" s="33" t="s">
        <v>1029</v>
      </c>
      <c r="O91" s="33">
        <v>171026</v>
      </c>
      <c r="P91" s="33"/>
    </row>
    <row r="92" spans="1:16">
      <c r="A92" s="31" t="s">
        <v>182</v>
      </c>
      <c r="B92" s="31" t="s">
        <v>183</v>
      </c>
      <c r="C92" s="31" t="s">
        <v>653</v>
      </c>
      <c r="D92" s="31" t="s">
        <v>654</v>
      </c>
      <c r="E92" s="31" t="s">
        <v>638</v>
      </c>
      <c r="F92" s="31" t="s">
        <v>655</v>
      </c>
      <c r="G92" s="31" t="s">
        <v>655</v>
      </c>
      <c r="H92" s="33" t="s">
        <v>638</v>
      </c>
      <c r="I92" s="33" t="s">
        <v>638</v>
      </c>
      <c r="J92" s="33">
        <v>0</v>
      </c>
      <c r="K92" s="33" t="s">
        <v>1054</v>
      </c>
      <c r="L92" s="33" t="s">
        <v>1055</v>
      </c>
      <c r="M92" s="33">
        <v>12</v>
      </c>
      <c r="N92" s="33" t="s">
        <v>1043</v>
      </c>
      <c r="O92" s="33">
        <v>0</v>
      </c>
      <c r="P92" s="33"/>
    </row>
    <row r="93" spans="1:16">
      <c r="A93" s="31" t="s">
        <v>184</v>
      </c>
      <c r="B93" s="31" t="s">
        <v>185</v>
      </c>
      <c r="C93" s="31" t="s">
        <v>1026</v>
      </c>
      <c r="D93" s="31" t="s">
        <v>656</v>
      </c>
      <c r="E93" s="31" t="s">
        <v>657</v>
      </c>
      <c r="F93" s="31" t="s">
        <v>638</v>
      </c>
      <c r="G93" s="31" t="s">
        <v>638</v>
      </c>
      <c r="H93" s="33" t="s">
        <v>638</v>
      </c>
      <c r="I93" s="33" t="s">
        <v>638</v>
      </c>
      <c r="J93" s="33">
        <v>0</v>
      </c>
      <c r="K93" s="33" t="s">
        <v>1056</v>
      </c>
      <c r="L93" s="33" t="s">
        <v>1057</v>
      </c>
      <c r="M93" s="33">
        <v>1</v>
      </c>
      <c r="N93" s="33" t="s">
        <v>1029</v>
      </c>
      <c r="O93" s="33">
        <v>0</v>
      </c>
      <c r="P93" s="33"/>
    </row>
    <row r="94" spans="1:16">
      <c r="A94" s="31" t="s">
        <v>186</v>
      </c>
      <c r="B94" s="31" t="s">
        <v>187</v>
      </c>
      <c r="C94" s="31" t="s">
        <v>653</v>
      </c>
      <c r="D94" s="31" t="s">
        <v>654</v>
      </c>
      <c r="E94" s="31" t="s">
        <v>638</v>
      </c>
      <c r="F94" s="31" t="s">
        <v>658</v>
      </c>
      <c r="G94" s="31" t="s">
        <v>658</v>
      </c>
      <c r="H94" s="33" t="s">
        <v>638</v>
      </c>
      <c r="I94" s="33" t="s">
        <v>638</v>
      </c>
      <c r="J94" s="33">
        <v>0</v>
      </c>
      <c r="K94" s="33" t="s">
        <v>1054</v>
      </c>
      <c r="L94" s="33" t="s">
        <v>1055</v>
      </c>
      <c r="M94" s="33">
        <v>12</v>
      </c>
      <c r="N94" s="33" t="s">
        <v>1043</v>
      </c>
      <c r="O94" s="33">
        <v>0</v>
      </c>
      <c r="P94" s="33"/>
    </row>
    <row r="95" spans="1:16">
      <c r="A95" s="31" t="s">
        <v>188</v>
      </c>
      <c r="B95" s="31" t="s">
        <v>189</v>
      </c>
      <c r="C95" s="31" t="s">
        <v>653</v>
      </c>
      <c r="D95" s="31" t="s">
        <v>659</v>
      </c>
      <c r="E95" s="31" t="s">
        <v>638</v>
      </c>
      <c r="F95" s="31" t="s">
        <v>658</v>
      </c>
      <c r="G95" s="31" t="s">
        <v>658</v>
      </c>
      <c r="H95" s="33" t="s">
        <v>638</v>
      </c>
      <c r="I95" s="33" t="s">
        <v>638</v>
      </c>
      <c r="J95" s="33">
        <v>0</v>
      </c>
      <c r="K95" s="33" t="s">
        <v>1054</v>
      </c>
      <c r="L95" s="33" t="s">
        <v>1055</v>
      </c>
      <c r="M95" s="33">
        <v>20</v>
      </c>
      <c r="N95" s="33" t="s">
        <v>1043</v>
      </c>
      <c r="O95" s="33">
        <v>0</v>
      </c>
      <c r="P95" s="33"/>
    </row>
    <row r="96" spans="1:16">
      <c r="A96" s="31" t="s">
        <v>190</v>
      </c>
      <c r="B96" s="31" t="s">
        <v>191</v>
      </c>
      <c r="C96" s="31" t="s">
        <v>1026</v>
      </c>
      <c r="D96" s="31" t="s">
        <v>596</v>
      </c>
      <c r="E96" s="31" t="s">
        <v>597</v>
      </c>
      <c r="F96" s="31" t="s">
        <v>604</v>
      </c>
      <c r="G96" s="31" t="s">
        <v>604</v>
      </c>
      <c r="H96" s="33" t="s">
        <v>638</v>
      </c>
      <c r="I96" s="33" t="s">
        <v>638</v>
      </c>
      <c r="J96" s="33">
        <v>171026</v>
      </c>
      <c r="K96" s="33" t="s">
        <v>1027</v>
      </c>
      <c r="L96" s="33" t="s">
        <v>1034</v>
      </c>
      <c r="M96" s="33">
        <v>5</v>
      </c>
      <c r="N96" s="33" t="s">
        <v>1029</v>
      </c>
      <c r="O96" s="33">
        <v>171027</v>
      </c>
      <c r="P96" s="33">
        <f>VLOOKUP(F96,Royalty!$A$3:$B$49,2,0)</f>
        <v>3</v>
      </c>
    </row>
    <row r="97" spans="1:16">
      <c r="A97" s="31" t="s">
        <v>192</v>
      </c>
      <c r="B97" s="31" t="s">
        <v>193</v>
      </c>
      <c r="C97" s="31" t="s">
        <v>1026</v>
      </c>
      <c r="D97" s="31" t="s">
        <v>599</v>
      </c>
      <c r="E97" s="31" t="s">
        <v>613</v>
      </c>
      <c r="F97" s="31" t="s">
        <v>660</v>
      </c>
      <c r="G97" s="31" t="s">
        <v>660</v>
      </c>
      <c r="H97" s="33" t="s">
        <v>638</v>
      </c>
      <c r="I97" s="33" t="s">
        <v>638</v>
      </c>
      <c r="J97" s="33">
        <v>172015</v>
      </c>
      <c r="K97" s="33" t="s">
        <v>1027</v>
      </c>
      <c r="L97" s="33" t="s">
        <v>1034</v>
      </c>
      <c r="M97" s="33">
        <v>5</v>
      </c>
      <c r="N97" s="33" t="s">
        <v>1029</v>
      </c>
      <c r="O97" s="33">
        <v>172019</v>
      </c>
      <c r="P97" s="33">
        <f>VLOOKUP(F97,Royalty!$A$3:$B$49,2,0)</f>
        <v>2</v>
      </c>
    </row>
    <row r="98" spans="1:16">
      <c r="A98" s="31" t="s">
        <v>194</v>
      </c>
      <c r="B98" s="31" t="s">
        <v>195</v>
      </c>
      <c r="C98" s="31" t="s">
        <v>1026</v>
      </c>
      <c r="D98" s="31" t="s">
        <v>599</v>
      </c>
      <c r="E98" s="31" t="s">
        <v>613</v>
      </c>
      <c r="F98" s="31" t="s">
        <v>661</v>
      </c>
      <c r="G98" s="31" t="s">
        <v>661</v>
      </c>
      <c r="H98" s="33" t="s">
        <v>638</v>
      </c>
      <c r="I98" s="33" t="s">
        <v>638</v>
      </c>
      <c r="J98" s="33">
        <v>172011</v>
      </c>
      <c r="K98" s="33" t="s">
        <v>1032</v>
      </c>
      <c r="L98" s="33" t="s">
        <v>1033</v>
      </c>
      <c r="M98" s="33">
        <v>6</v>
      </c>
      <c r="N98" s="33" t="s">
        <v>1029</v>
      </c>
      <c r="O98" s="33">
        <v>172020</v>
      </c>
      <c r="P98" s="33">
        <f>VLOOKUP(F98,Royalty!$A$3:$B$49,2,0)</f>
        <v>2</v>
      </c>
    </row>
    <row r="99" spans="1:16">
      <c r="A99" s="31" t="s">
        <v>196</v>
      </c>
      <c r="B99" s="31" t="s">
        <v>197</v>
      </c>
      <c r="C99" s="31" t="s">
        <v>1026</v>
      </c>
      <c r="D99" s="31" t="s">
        <v>599</v>
      </c>
      <c r="E99" s="31" t="s">
        <v>613</v>
      </c>
      <c r="F99" s="31" t="s">
        <v>661</v>
      </c>
      <c r="G99" s="31" t="s">
        <v>661</v>
      </c>
      <c r="H99" s="33" t="s">
        <v>638</v>
      </c>
      <c r="I99" s="33" t="s">
        <v>638</v>
      </c>
      <c r="J99" s="33">
        <v>172012</v>
      </c>
      <c r="K99" s="33" t="s">
        <v>1027</v>
      </c>
      <c r="L99" s="33" t="s">
        <v>1034</v>
      </c>
      <c r="M99" s="33">
        <v>5</v>
      </c>
      <c r="N99" s="33" t="s">
        <v>1029</v>
      </c>
      <c r="O99" s="33">
        <v>172021</v>
      </c>
      <c r="P99" s="33">
        <f>VLOOKUP(F99,Royalty!$A$3:$B$49,2,0)</f>
        <v>2</v>
      </c>
    </row>
    <row r="100" spans="1:16">
      <c r="A100" s="31" t="s">
        <v>198</v>
      </c>
      <c r="B100" s="31" t="s">
        <v>199</v>
      </c>
      <c r="C100" s="31" t="s">
        <v>1026</v>
      </c>
      <c r="D100" s="31" t="s">
        <v>599</v>
      </c>
      <c r="E100" s="31" t="s">
        <v>613</v>
      </c>
      <c r="F100" s="31" t="s">
        <v>662</v>
      </c>
      <c r="G100" s="31" t="s">
        <v>662</v>
      </c>
      <c r="H100" s="33" t="s">
        <v>638</v>
      </c>
      <c r="I100" s="33" t="s">
        <v>638</v>
      </c>
      <c r="J100" s="33">
        <v>172015</v>
      </c>
      <c r="K100" s="33" t="s">
        <v>1030</v>
      </c>
      <c r="L100" s="33" t="s">
        <v>1058</v>
      </c>
      <c r="M100" s="33">
        <v>1</v>
      </c>
      <c r="N100" s="33" t="s">
        <v>1029</v>
      </c>
      <c r="O100" s="33">
        <v>172005</v>
      </c>
      <c r="P100" s="33"/>
    </row>
    <row r="101" spans="1:16">
      <c r="A101" s="31" t="s">
        <v>200</v>
      </c>
      <c r="B101" s="31" t="s">
        <v>201</v>
      </c>
      <c r="C101" s="31" t="s">
        <v>653</v>
      </c>
      <c r="D101" s="31" t="s">
        <v>663</v>
      </c>
      <c r="E101" s="31" t="s">
        <v>1059</v>
      </c>
      <c r="F101" s="31" t="s">
        <v>1060</v>
      </c>
      <c r="G101" s="31" t="s">
        <v>638</v>
      </c>
      <c r="H101" s="33" t="s">
        <v>638</v>
      </c>
      <c r="I101" s="33" t="s">
        <v>638</v>
      </c>
      <c r="J101" s="33">
        <v>0</v>
      </c>
      <c r="K101" s="33" t="s">
        <v>1044</v>
      </c>
      <c r="L101" s="33" t="s">
        <v>1045</v>
      </c>
      <c r="M101" s="33">
        <v>20</v>
      </c>
      <c r="N101" s="33" t="s">
        <v>1029</v>
      </c>
      <c r="O101" s="33">
        <v>0</v>
      </c>
      <c r="P101" s="33"/>
    </row>
    <row r="102" spans="1:16">
      <c r="A102" s="31" t="s">
        <v>202</v>
      </c>
      <c r="B102" s="31" t="s">
        <v>203</v>
      </c>
      <c r="C102" s="31" t="s">
        <v>653</v>
      </c>
      <c r="D102" s="31" t="s">
        <v>664</v>
      </c>
      <c r="E102" s="31" t="s">
        <v>638</v>
      </c>
      <c r="F102" s="31" t="s">
        <v>665</v>
      </c>
      <c r="G102" s="31" t="s">
        <v>665</v>
      </c>
      <c r="H102" s="33" t="s">
        <v>638</v>
      </c>
      <c r="I102" s="33" t="s">
        <v>638</v>
      </c>
      <c r="J102" s="33">
        <v>0</v>
      </c>
      <c r="K102" s="33" t="s">
        <v>1054</v>
      </c>
      <c r="L102" s="33" t="s">
        <v>1055</v>
      </c>
      <c r="M102" s="33">
        <v>20</v>
      </c>
      <c r="N102" s="33" t="s">
        <v>1043</v>
      </c>
      <c r="O102" s="33">
        <v>0</v>
      </c>
      <c r="P102" s="33"/>
    </row>
    <row r="103" spans="1:16">
      <c r="A103" s="31" t="s">
        <v>204</v>
      </c>
      <c r="B103" s="31" t="s">
        <v>205</v>
      </c>
      <c r="C103" s="31" t="s">
        <v>1026</v>
      </c>
      <c r="D103" s="31" t="s">
        <v>596</v>
      </c>
      <c r="E103" s="31" t="s">
        <v>597</v>
      </c>
      <c r="F103" s="31" t="s">
        <v>666</v>
      </c>
      <c r="G103" s="31" t="s">
        <v>666</v>
      </c>
      <c r="H103" s="33" t="s">
        <v>638</v>
      </c>
      <c r="I103" s="33" t="s">
        <v>638</v>
      </c>
      <c r="J103" s="33">
        <v>171022</v>
      </c>
      <c r="K103" s="33" t="s">
        <v>1042</v>
      </c>
      <c r="L103" s="33" t="s">
        <v>1031</v>
      </c>
      <c r="M103" s="33">
        <v>10</v>
      </c>
      <c r="N103" s="33" t="s">
        <v>1043</v>
      </c>
      <c r="O103" s="33">
        <v>171025</v>
      </c>
      <c r="P103" s="33"/>
    </row>
    <row r="104" spans="1:16" ht="15.75">
      <c r="A104" s="31" t="s">
        <v>206</v>
      </c>
      <c r="B104" s="31" t="s">
        <v>207</v>
      </c>
      <c r="C104" s="31" t="s">
        <v>1026</v>
      </c>
      <c r="D104" s="31" t="s">
        <v>599</v>
      </c>
      <c r="E104" s="31" t="s">
        <v>611</v>
      </c>
      <c r="F104" s="32" t="s">
        <v>667</v>
      </c>
      <c r="G104" s="32" t="s">
        <v>667</v>
      </c>
      <c r="H104" s="33" t="s">
        <v>638</v>
      </c>
      <c r="I104" s="33" t="s">
        <v>638</v>
      </c>
      <c r="J104" s="33">
        <v>172001</v>
      </c>
      <c r="K104" s="33" t="s">
        <v>1042</v>
      </c>
      <c r="L104" s="33" t="s">
        <v>1031</v>
      </c>
      <c r="M104" s="33">
        <v>10</v>
      </c>
      <c r="N104" s="33" t="s">
        <v>1043</v>
      </c>
      <c r="O104" s="33">
        <v>0</v>
      </c>
      <c r="P104" s="33">
        <f>VLOOKUP(F104,Royalty!$A$3:$B$49,2,0)</f>
        <v>3</v>
      </c>
    </row>
    <row r="105" spans="1:16">
      <c r="A105" s="31" t="s">
        <v>208</v>
      </c>
      <c r="B105" s="31" t="s">
        <v>209</v>
      </c>
      <c r="C105" s="31" t="s">
        <v>653</v>
      </c>
      <c r="D105" s="31" t="s">
        <v>659</v>
      </c>
      <c r="E105" s="31" t="s">
        <v>638</v>
      </c>
      <c r="F105" s="31" t="s">
        <v>658</v>
      </c>
      <c r="G105" s="31" t="s">
        <v>658</v>
      </c>
      <c r="H105" s="33" t="s">
        <v>638</v>
      </c>
      <c r="I105" s="33" t="s">
        <v>638</v>
      </c>
      <c r="J105" s="33">
        <v>0</v>
      </c>
      <c r="K105" s="33" t="s">
        <v>1042</v>
      </c>
      <c r="L105" s="33" t="s">
        <v>1055</v>
      </c>
      <c r="M105" s="33">
        <v>20</v>
      </c>
      <c r="N105" s="33" t="s">
        <v>1043</v>
      </c>
      <c r="O105" s="33">
        <v>0</v>
      </c>
      <c r="P105" s="33"/>
    </row>
    <row r="106" spans="1:16">
      <c r="A106" s="31" t="s">
        <v>210</v>
      </c>
      <c r="B106" s="31" t="s">
        <v>211</v>
      </c>
      <c r="C106" s="31" t="s">
        <v>1026</v>
      </c>
      <c r="D106" s="31" t="s">
        <v>656</v>
      </c>
      <c r="E106" s="31" t="s">
        <v>668</v>
      </c>
      <c r="F106" s="31" t="s">
        <v>638</v>
      </c>
      <c r="G106" s="31" t="s">
        <v>638</v>
      </c>
      <c r="H106" s="33" t="s">
        <v>638</v>
      </c>
      <c r="I106" s="33" t="s">
        <v>638</v>
      </c>
      <c r="J106" s="33">
        <v>0</v>
      </c>
      <c r="K106" s="33" t="s">
        <v>1061</v>
      </c>
      <c r="L106" s="33" t="s">
        <v>1039</v>
      </c>
      <c r="M106" s="33">
        <v>1</v>
      </c>
      <c r="N106" s="33" t="s">
        <v>1029</v>
      </c>
      <c r="O106" s="33">
        <v>0</v>
      </c>
      <c r="P106" s="33"/>
    </row>
    <row r="107" spans="1:16">
      <c r="A107" s="36" t="s">
        <v>212</v>
      </c>
      <c r="B107" s="36" t="s">
        <v>213</v>
      </c>
      <c r="C107" s="31" t="s">
        <v>1026</v>
      </c>
      <c r="D107" s="31" t="s">
        <v>596</v>
      </c>
      <c r="E107" s="37" t="s">
        <v>597</v>
      </c>
      <c r="F107" s="33" t="s">
        <v>669</v>
      </c>
      <c r="G107" s="33" t="s">
        <v>638</v>
      </c>
      <c r="H107" s="33" t="s">
        <v>638</v>
      </c>
      <c r="I107" s="33" t="s">
        <v>638</v>
      </c>
      <c r="J107" s="33">
        <v>171005</v>
      </c>
      <c r="K107" s="33" t="s">
        <v>1042</v>
      </c>
      <c r="L107" s="33" t="s">
        <v>1031</v>
      </c>
      <c r="M107" s="33">
        <v>10</v>
      </c>
      <c r="N107" s="33" t="s">
        <v>1043</v>
      </c>
      <c r="O107" s="33">
        <v>172035</v>
      </c>
      <c r="P107" s="33"/>
    </row>
    <row r="108" spans="1:16">
      <c r="A108" s="38" t="s">
        <v>214</v>
      </c>
      <c r="B108" s="38" t="s">
        <v>215</v>
      </c>
      <c r="C108" s="31" t="s">
        <v>1026</v>
      </c>
      <c r="D108" s="31" t="s">
        <v>596</v>
      </c>
      <c r="E108" s="37" t="s">
        <v>597</v>
      </c>
      <c r="F108" s="33" t="s">
        <v>670</v>
      </c>
      <c r="G108" s="33" t="s">
        <v>638</v>
      </c>
      <c r="H108" s="33" t="s">
        <v>638</v>
      </c>
      <c r="I108" s="33" t="s">
        <v>638</v>
      </c>
      <c r="J108" s="33">
        <v>171005</v>
      </c>
      <c r="K108" s="33" t="s">
        <v>1032</v>
      </c>
      <c r="L108" s="33" t="s">
        <v>1033</v>
      </c>
      <c r="M108" s="33">
        <v>6</v>
      </c>
      <c r="N108" s="33" t="s">
        <v>1029</v>
      </c>
      <c r="O108" s="33">
        <v>172006</v>
      </c>
      <c r="P108" s="33"/>
    </row>
    <row r="109" spans="1:16">
      <c r="A109" s="31" t="s">
        <v>216</v>
      </c>
      <c r="B109" s="31" t="s">
        <v>217</v>
      </c>
      <c r="C109" s="31" t="s">
        <v>653</v>
      </c>
      <c r="D109" s="31" t="s">
        <v>671</v>
      </c>
      <c r="E109" s="31" t="s">
        <v>638</v>
      </c>
      <c r="F109" s="31" t="s">
        <v>638</v>
      </c>
      <c r="G109" s="31" t="s">
        <v>638</v>
      </c>
      <c r="H109" s="33" t="s">
        <v>638</v>
      </c>
      <c r="I109" s="33" t="s">
        <v>638</v>
      </c>
      <c r="J109" s="33">
        <v>172035</v>
      </c>
      <c r="K109" s="33" t="s">
        <v>1054</v>
      </c>
      <c r="L109" s="33" t="s">
        <v>1055</v>
      </c>
      <c r="M109" s="33">
        <v>12</v>
      </c>
      <c r="N109" s="33" t="s">
        <v>1043</v>
      </c>
      <c r="O109" s="33">
        <v>0</v>
      </c>
      <c r="P109" s="33"/>
    </row>
    <row r="110" spans="1:16">
      <c r="A110" s="39" t="s">
        <v>218</v>
      </c>
      <c r="B110" s="39" t="s">
        <v>219</v>
      </c>
      <c r="C110" s="34" t="s">
        <v>1026</v>
      </c>
      <c r="D110" s="31" t="s">
        <v>599</v>
      </c>
      <c r="E110" s="31" t="s">
        <v>600</v>
      </c>
      <c r="F110" s="31" t="s">
        <v>631</v>
      </c>
      <c r="G110" s="33" t="s">
        <v>638</v>
      </c>
      <c r="H110" s="33" t="s">
        <v>638</v>
      </c>
      <c r="I110" s="33" t="s">
        <v>638</v>
      </c>
      <c r="J110" s="33">
        <v>0</v>
      </c>
      <c r="K110" s="33" t="s">
        <v>1027</v>
      </c>
      <c r="L110" s="33" t="s">
        <v>1028</v>
      </c>
      <c r="M110" s="33">
        <v>5</v>
      </c>
      <c r="N110" s="33" t="s">
        <v>1029</v>
      </c>
      <c r="O110" s="33">
        <v>0</v>
      </c>
      <c r="P110" s="33">
        <f>VLOOKUP(F110,Royalty!$A$3:$B$49,2,0)</f>
        <v>2</v>
      </c>
    </row>
    <row r="111" spans="1:16">
      <c r="A111" s="38" t="s">
        <v>220</v>
      </c>
      <c r="B111" s="38" t="s">
        <v>221</v>
      </c>
      <c r="C111" s="31" t="s">
        <v>1026</v>
      </c>
      <c r="D111" s="31" t="s">
        <v>596</v>
      </c>
      <c r="E111" s="37" t="s">
        <v>597</v>
      </c>
      <c r="F111" s="33" t="s">
        <v>598</v>
      </c>
      <c r="G111" s="33" t="s">
        <v>638</v>
      </c>
      <c r="H111" s="33" t="s">
        <v>638</v>
      </c>
      <c r="I111" s="33" t="s">
        <v>638</v>
      </c>
      <c r="J111" s="33">
        <v>171005</v>
      </c>
      <c r="K111" s="33" t="s">
        <v>1032</v>
      </c>
      <c r="L111" s="33" t="s">
        <v>1033</v>
      </c>
      <c r="M111" s="33">
        <v>1</v>
      </c>
      <c r="N111" s="33" t="s">
        <v>1062</v>
      </c>
      <c r="O111" s="33">
        <v>0</v>
      </c>
      <c r="P111" s="33">
        <f>VLOOKUP(F111,Royalty!$A$3:$B$49,2,0)</f>
        <v>2</v>
      </c>
    </row>
    <row r="112" spans="1:16">
      <c r="A112" s="31" t="s">
        <v>222</v>
      </c>
      <c r="B112" s="31" t="s">
        <v>223</v>
      </c>
      <c r="C112" s="31" t="s">
        <v>1026</v>
      </c>
      <c r="D112" s="31" t="s">
        <v>599</v>
      </c>
      <c r="E112" s="31" t="s">
        <v>613</v>
      </c>
      <c r="F112" s="31" t="s">
        <v>672</v>
      </c>
      <c r="G112" s="31" t="s">
        <v>672</v>
      </c>
      <c r="H112" s="33" t="s">
        <v>638</v>
      </c>
      <c r="I112" s="33" t="s">
        <v>638</v>
      </c>
      <c r="J112" s="33">
        <v>172001</v>
      </c>
      <c r="K112" s="33" t="s">
        <v>1063</v>
      </c>
      <c r="L112" s="33" t="s">
        <v>1028</v>
      </c>
      <c r="M112" s="33">
        <v>5</v>
      </c>
      <c r="N112" s="33">
        <v>0</v>
      </c>
      <c r="O112" s="33">
        <v>0</v>
      </c>
      <c r="P112" s="33"/>
    </row>
    <row r="113" spans="1:16">
      <c r="A113" s="38" t="s">
        <v>224</v>
      </c>
      <c r="B113" s="38" t="s">
        <v>225</v>
      </c>
      <c r="C113" s="31" t="s">
        <v>1026</v>
      </c>
      <c r="D113" s="31" t="s">
        <v>599</v>
      </c>
      <c r="E113" s="31" t="s">
        <v>616</v>
      </c>
      <c r="F113" s="33" t="s">
        <v>617</v>
      </c>
      <c r="G113" s="33" t="s">
        <v>638</v>
      </c>
      <c r="H113" s="33" t="s">
        <v>638</v>
      </c>
      <c r="I113" s="33" t="s">
        <v>638</v>
      </c>
      <c r="J113" s="33">
        <v>0</v>
      </c>
      <c r="K113" s="33" t="s">
        <v>1042</v>
      </c>
      <c r="L113" s="33" t="s">
        <v>1031</v>
      </c>
      <c r="M113" s="33">
        <v>10</v>
      </c>
      <c r="N113" s="33" t="s">
        <v>1043</v>
      </c>
      <c r="O113" s="33">
        <v>172035</v>
      </c>
      <c r="P113" s="33">
        <f>VLOOKUP(F113,Royalty!$A$3:$B$49,2,0)</f>
        <v>2</v>
      </c>
    </row>
    <row r="114" spans="1:16">
      <c r="A114" s="31" t="s">
        <v>226</v>
      </c>
      <c r="B114" s="31" t="s">
        <v>227</v>
      </c>
      <c r="C114" s="31" t="s">
        <v>653</v>
      </c>
      <c r="D114" s="31" t="s">
        <v>654</v>
      </c>
      <c r="E114" s="31" t="s">
        <v>638</v>
      </c>
      <c r="F114" s="31" t="s">
        <v>638</v>
      </c>
      <c r="G114" s="31" t="s">
        <v>638</v>
      </c>
      <c r="H114" s="33" t="s">
        <v>638</v>
      </c>
      <c r="I114" s="33" t="s">
        <v>638</v>
      </c>
      <c r="J114" s="33">
        <v>0</v>
      </c>
      <c r="K114" s="33" t="s">
        <v>1032</v>
      </c>
      <c r="L114" s="33" t="s">
        <v>1033</v>
      </c>
      <c r="M114" s="33">
        <v>6</v>
      </c>
      <c r="N114" s="33" t="s">
        <v>1037</v>
      </c>
      <c r="O114" s="33">
        <v>172036</v>
      </c>
      <c r="P114" s="33"/>
    </row>
    <row r="115" spans="1:16">
      <c r="A115" s="31" t="s">
        <v>228</v>
      </c>
      <c r="B115" s="31" t="s">
        <v>229</v>
      </c>
      <c r="C115" s="31" t="s">
        <v>653</v>
      </c>
      <c r="D115" s="31" t="s">
        <v>663</v>
      </c>
      <c r="E115" s="31" t="s">
        <v>1059</v>
      </c>
      <c r="F115" s="31" t="s">
        <v>1060</v>
      </c>
      <c r="G115" s="31" t="s">
        <v>638</v>
      </c>
      <c r="H115" s="33" t="s">
        <v>638</v>
      </c>
      <c r="I115" s="33" t="s">
        <v>638</v>
      </c>
      <c r="J115" s="33">
        <v>0</v>
      </c>
      <c r="K115" s="33" t="s">
        <v>1027</v>
      </c>
      <c r="L115" s="33" t="s">
        <v>1028</v>
      </c>
      <c r="M115" s="33">
        <v>5</v>
      </c>
      <c r="N115" s="33" t="s">
        <v>1037</v>
      </c>
      <c r="O115" s="33">
        <v>0</v>
      </c>
      <c r="P115" s="33"/>
    </row>
    <row r="116" spans="1:16">
      <c r="A116" s="31" t="s">
        <v>230</v>
      </c>
      <c r="B116" s="31" t="s">
        <v>231</v>
      </c>
      <c r="C116" s="31" t="s">
        <v>653</v>
      </c>
      <c r="D116" s="31" t="s">
        <v>663</v>
      </c>
      <c r="E116" s="31" t="s">
        <v>1059</v>
      </c>
      <c r="F116" s="31" t="s">
        <v>638</v>
      </c>
      <c r="G116" s="31" t="s">
        <v>638</v>
      </c>
      <c r="H116" s="33" t="s">
        <v>638</v>
      </c>
      <c r="I116" s="33" t="s">
        <v>638</v>
      </c>
      <c r="J116" s="33">
        <v>0</v>
      </c>
      <c r="K116" s="33" t="s">
        <v>1042</v>
      </c>
      <c r="L116" s="33" t="s">
        <v>1064</v>
      </c>
      <c r="M116" s="33">
        <v>20</v>
      </c>
      <c r="N116" s="33" t="s">
        <v>1043</v>
      </c>
      <c r="O116" s="33">
        <v>0</v>
      </c>
      <c r="P116" s="33"/>
    </row>
    <row r="117" spans="1:16">
      <c r="A117" s="31" t="s">
        <v>232</v>
      </c>
      <c r="B117" s="31" t="s">
        <v>233</v>
      </c>
      <c r="C117" s="31" t="s">
        <v>653</v>
      </c>
      <c r="D117" s="31" t="s">
        <v>673</v>
      </c>
      <c r="E117" s="31" t="s">
        <v>674</v>
      </c>
      <c r="F117" s="31" t="s">
        <v>638</v>
      </c>
      <c r="G117" s="31" t="s">
        <v>638</v>
      </c>
      <c r="H117" s="33" t="s">
        <v>638</v>
      </c>
      <c r="I117" s="33" t="s">
        <v>638</v>
      </c>
      <c r="J117" s="33">
        <v>0</v>
      </c>
      <c r="K117" s="33" t="s">
        <v>1042</v>
      </c>
      <c r="L117" s="33" t="s">
        <v>1031</v>
      </c>
      <c r="M117" s="33">
        <v>10</v>
      </c>
      <c r="N117" s="33" t="s">
        <v>1043</v>
      </c>
      <c r="O117" s="33">
        <v>172001</v>
      </c>
      <c r="P117" s="33"/>
    </row>
    <row r="118" spans="1:16">
      <c r="A118" s="37" t="s">
        <v>1065</v>
      </c>
      <c r="B118" s="37" t="s">
        <v>1066</v>
      </c>
      <c r="C118" s="31" t="s">
        <v>653</v>
      </c>
      <c r="D118" s="37" t="s">
        <v>659</v>
      </c>
      <c r="E118" s="37" t="s">
        <v>638</v>
      </c>
      <c r="F118" s="37" t="s">
        <v>658</v>
      </c>
      <c r="G118" s="33" t="s">
        <v>658</v>
      </c>
      <c r="H118" s="33" t="s">
        <v>638</v>
      </c>
      <c r="I118" s="33" t="s">
        <v>638</v>
      </c>
      <c r="J118" s="33">
        <v>0</v>
      </c>
      <c r="K118" s="33" t="s">
        <v>1067</v>
      </c>
      <c r="L118" s="33" t="s">
        <v>1068</v>
      </c>
      <c r="M118" s="33">
        <v>1</v>
      </c>
      <c r="N118" s="33" t="s">
        <v>1043</v>
      </c>
      <c r="O118" s="33">
        <v>0</v>
      </c>
      <c r="P118" s="33"/>
    </row>
    <row r="119" spans="1:16" ht="15.75">
      <c r="A119" s="31" t="s">
        <v>234</v>
      </c>
      <c r="B119" s="31" t="s">
        <v>675</v>
      </c>
      <c r="C119" s="31" t="s">
        <v>1026</v>
      </c>
      <c r="D119" s="31" t="s">
        <v>1053</v>
      </c>
      <c r="E119" s="55" t="s">
        <v>596</v>
      </c>
      <c r="F119" s="31" t="s">
        <v>650</v>
      </c>
      <c r="G119" s="31" t="s">
        <v>650</v>
      </c>
      <c r="H119" s="33" t="s">
        <v>638</v>
      </c>
      <c r="I119" s="33" t="s">
        <v>638</v>
      </c>
      <c r="J119" s="33">
        <v>0</v>
      </c>
      <c r="K119" s="33" t="s">
        <v>1069</v>
      </c>
      <c r="L119" s="33" t="s">
        <v>1036</v>
      </c>
      <c r="M119" s="33">
        <v>210</v>
      </c>
      <c r="N119" s="33" t="s">
        <v>1029</v>
      </c>
      <c r="O119" s="33">
        <v>0</v>
      </c>
      <c r="P119" s="33"/>
    </row>
    <row r="120" spans="1:16" ht="15.75">
      <c r="A120" s="31" t="s">
        <v>236</v>
      </c>
      <c r="B120" s="31" t="s">
        <v>676</v>
      </c>
      <c r="C120" s="31" t="s">
        <v>1026</v>
      </c>
      <c r="D120" s="31" t="s">
        <v>1053</v>
      </c>
      <c r="E120" s="55" t="s">
        <v>596</v>
      </c>
      <c r="F120" s="31" t="s">
        <v>650</v>
      </c>
      <c r="G120" s="31" t="s">
        <v>650</v>
      </c>
      <c r="H120" s="33" t="s">
        <v>638</v>
      </c>
      <c r="I120" s="33" t="s">
        <v>638</v>
      </c>
      <c r="J120" s="33">
        <v>0</v>
      </c>
      <c r="K120" s="33" t="s">
        <v>1032</v>
      </c>
      <c r="L120" s="33" t="s">
        <v>1033</v>
      </c>
      <c r="M120" s="33">
        <v>1</v>
      </c>
      <c r="N120" s="33" t="s">
        <v>1037</v>
      </c>
      <c r="O120" s="33">
        <v>0</v>
      </c>
      <c r="P120" s="33"/>
    </row>
    <row r="121" spans="1:16" ht="15.75">
      <c r="A121" s="31" t="s">
        <v>238</v>
      </c>
      <c r="B121" s="31" t="s">
        <v>677</v>
      </c>
      <c r="C121" s="31" t="s">
        <v>1026</v>
      </c>
      <c r="D121" s="31" t="s">
        <v>1053</v>
      </c>
      <c r="E121" s="55" t="s">
        <v>596</v>
      </c>
      <c r="F121" s="31" t="s">
        <v>650</v>
      </c>
      <c r="G121" s="31" t="s">
        <v>650</v>
      </c>
      <c r="H121" s="33" t="s">
        <v>638</v>
      </c>
      <c r="I121" s="33" t="s">
        <v>638</v>
      </c>
      <c r="J121" s="33">
        <v>0</v>
      </c>
      <c r="K121" s="33" t="s">
        <v>1054</v>
      </c>
      <c r="L121" s="33" t="s">
        <v>1055</v>
      </c>
      <c r="M121" s="33">
        <v>12</v>
      </c>
      <c r="N121" s="33" t="s">
        <v>1043</v>
      </c>
      <c r="O121" s="33">
        <v>0</v>
      </c>
      <c r="P121" s="33"/>
    </row>
    <row r="122" spans="1:16" ht="15.75">
      <c r="A122" s="31" t="s">
        <v>240</v>
      </c>
      <c r="B122" s="31" t="s">
        <v>678</v>
      </c>
      <c r="C122" s="31" t="s">
        <v>1026</v>
      </c>
      <c r="D122" s="31" t="s">
        <v>1053</v>
      </c>
      <c r="E122" s="55" t="s">
        <v>596</v>
      </c>
      <c r="F122" s="31" t="s">
        <v>650</v>
      </c>
      <c r="G122" s="31" t="s">
        <v>650</v>
      </c>
      <c r="H122" s="33" t="s">
        <v>638</v>
      </c>
      <c r="I122" s="33" t="s">
        <v>638</v>
      </c>
      <c r="J122" s="33">
        <v>0</v>
      </c>
      <c r="K122" s="33" t="s">
        <v>1027</v>
      </c>
      <c r="L122" s="33" t="s">
        <v>1028</v>
      </c>
      <c r="M122" s="33">
        <v>1</v>
      </c>
      <c r="N122" s="33" t="s">
        <v>1062</v>
      </c>
      <c r="O122" s="33">
        <v>0</v>
      </c>
      <c r="P122" s="33"/>
    </row>
    <row r="123" spans="1:16" ht="15.75">
      <c r="A123" s="39" t="s">
        <v>242</v>
      </c>
      <c r="B123" s="39" t="s">
        <v>243</v>
      </c>
      <c r="C123" s="34" t="s">
        <v>1026</v>
      </c>
      <c r="D123" s="31" t="s">
        <v>1053</v>
      </c>
      <c r="E123" s="55" t="s">
        <v>599</v>
      </c>
      <c r="F123" s="37" t="s">
        <v>1070</v>
      </c>
      <c r="G123" s="33" t="s">
        <v>638</v>
      </c>
      <c r="H123" s="33" t="s">
        <v>638</v>
      </c>
      <c r="I123" s="33" t="s">
        <v>638</v>
      </c>
      <c r="J123" s="33">
        <v>0</v>
      </c>
      <c r="K123" s="33" t="s">
        <v>1032</v>
      </c>
      <c r="L123" s="33" t="s">
        <v>1033</v>
      </c>
      <c r="M123" s="33">
        <v>6</v>
      </c>
      <c r="N123" s="33" t="s">
        <v>1029</v>
      </c>
      <c r="O123" s="33">
        <v>171026</v>
      </c>
      <c r="P123" s="33"/>
    </row>
    <row r="124" spans="1:16" ht="15.75">
      <c r="A124" s="31" t="s">
        <v>244</v>
      </c>
      <c r="B124" s="31" t="s">
        <v>245</v>
      </c>
      <c r="C124" s="31" t="s">
        <v>1026</v>
      </c>
      <c r="D124" s="31" t="s">
        <v>599</v>
      </c>
      <c r="E124" s="31" t="s">
        <v>611</v>
      </c>
      <c r="F124" s="32" t="s">
        <v>612</v>
      </c>
      <c r="G124" s="32" t="s">
        <v>612</v>
      </c>
      <c r="H124" s="33" t="s">
        <v>638</v>
      </c>
      <c r="I124" s="33" t="s">
        <v>638</v>
      </c>
      <c r="J124" s="33">
        <v>172001</v>
      </c>
      <c r="K124" s="33" t="s">
        <v>1027</v>
      </c>
      <c r="L124" s="33" t="s">
        <v>1028</v>
      </c>
      <c r="M124" s="33">
        <v>5</v>
      </c>
      <c r="N124" s="33" t="s">
        <v>1037</v>
      </c>
      <c r="O124" s="33">
        <v>0</v>
      </c>
      <c r="P124" s="33">
        <f>VLOOKUP(F124,Royalty!$A$3:$B$49,2,0)</f>
        <v>2</v>
      </c>
    </row>
    <row r="125" spans="1:16" ht="15.75">
      <c r="A125" s="39" t="s">
        <v>246</v>
      </c>
      <c r="B125" s="39" t="s">
        <v>247</v>
      </c>
      <c r="C125" s="34" t="s">
        <v>1026</v>
      </c>
      <c r="D125" s="31" t="s">
        <v>1053</v>
      </c>
      <c r="E125" s="55" t="s">
        <v>599</v>
      </c>
      <c r="F125" s="37" t="s">
        <v>1071</v>
      </c>
      <c r="G125" s="33" t="s">
        <v>638</v>
      </c>
      <c r="H125" s="33" t="s">
        <v>638</v>
      </c>
      <c r="I125" s="33" t="s">
        <v>638</v>
      </c>
      <c r="J125" s="33">
        <v>0</v>
      </c>
      <c r="K125" s="33" t="s">
        <v>1072</v>
      </c>
      <c r="L125" s="33" t="s">
        <v>1073</v>
      </c>
      <c r="M125" s="33">
        <v>30</v>
      </c>
      <c r="N125" s="33" t="s">
        <v>1029</v>
      </c>
      <c r="O125" s="33">
        <v>0</v>
      </c>
      <c r="P125" s="33"/>
    </row>
    <row r="126" spans="1:16">
      <c r="A126" s="40" t="s">
        <v>248</v>
      </c>
      <c r="B126" s="40" t="s">
        <v>249</v>
      </c>
      <c r="C126" s="34" t="s">
        <v>1026</v>
      </c>
      <c r="D126" s="31" t="s">
        <v>1053</v>
      </c>
      <c r="E126" s="31" t="s">
        <v>596</v>
      </c>
      <c r="F126" s="37" t="s">
        <v>1074</v>
      </c>
      <c r="G126" s="33" t="s">
        <v>638</v>
      </c>
      <c r="H126" s="33" t="s">
        <v>638</v>
      </c>
      <c r="I126" s="33" t="s">
        <v>638</v>
      </c>
      <c r="J126" s="33">
        <v>0</v>
      </c>
      <c r="K126" s="33" t="s">
        <v>1027</v>
      </c>
      <c r="L126" s="33" t="s">
        <v>1034</v>
      </c>
      <c r="M126" s="33">
        <v>5</v>
      </c>
      <c r="N126" s="33" t="s">
        <v>1029</v>
      </c>
      <c r="O126" s="33">
        <v>171043</v>
      </c>
      <c r="P126" s="33"/>
    </row>
    <row r="127" spans="1:16">
      <c r="A127" s="39" t="s">
        <v>250</v>
      </c>
      <c r="B127" s="39" t="s">
        <v>251</v>
      </c>
      <c r="C127" s="34" t="s">
        <v>1026</v>
      </c>
      <c r="D127" s="31" t="s">
        <v>1053</v>
      </c>
      <c r="E127" s="31" t="s">
        <v>596</v>
      </c>
      <c r="F127" s="37" t="s">
        <v>1074</v>
      </c>
      <c r="G127" s="33" t="s">
        <v>638</v>
      </c>
      <c r="H127" s="33" t="s">
        <v>638</v>
      </c>
      <c r="I127" s="33" t="s">
        <v>638</v>
      </c>
      <c r="J127" s="33">
        <v>0</v>
      </c>
      <c r="K127" s="33" t="s">
        <v>1042</v>
      </c>
      <c r="L127" s="33" t="s">
        <v>1064</v>
      </c>
      <c r="M127" s="33">
        <v>1</v>
      </c>
      <c r="N127" s="33" t="s">
        <v>1043</v>
      </c>
      <c r="O127" s="33">
        <v>0</v>
      </c>
      <c r="P127" s="33"/>
    </row>
    <row r="128" spans="1:16">
      <c r="A128" s="31" t="s">
        <v>252</v>
      </c>
      <c r="B128" s="31" t="s">
        <v>253</v>
      </c>
      <c r="C128" s="31" t="s">
        <v>1026</v>
      </c>
      <c r="D128" s="31" t="s">
        <v>596</v>
      </c>
      <c r="E128" s="31" t="s">
        <v>608</v>
      </c>
      <c r="F128" s="31" t="s">
        <v>609</v>
      </c>
      <c r="G128" s="31" t="s">
        <v>609</v>
      </c>
      <c r="H128" s="33" t="s">
        <v>638</v>
      </c>
      <c r="I128" s="33" t="s">
        <v>638</v>
      </c>
      <c r="J128" s="33">
        <v>0</v>
      </c>
      <c r="K128" s="33" t="s">
        <v>1042</v>
      </c>
      <c r="L128" s="33" t="s">
        <v>1031</v>
      </c>
      <c r="M128" s="33">
        <v>10</v>
      </c>
      <c r="N128" s="33" t="s">
        <v>1043</v>
      </c>
      <c r="O128" s="33">
        <v>171041</v>
      </c>
      <c r="P128" s="33">
        <f>VLOOKUP(F128,Royalty!$A$3:$B$49,2,0)</f>
        <v>3</v>
      </c>
    </row>
    <row r="129" spans="1:16">
      <c r="A129" s="39" t="s">
        <v>254</v>
      </c>
      <c r="B129" s="39" t="s">
        <v>255</v>
      </c>
      <c r="C129" s="34" t="s">
        <v>1026</v>
      </c>
      <c r="D129" s="31" t="s">
        <v>1053</v>
      </c>
      <c r="E129" s="31" t="s">
        <v>596</v>
      </c>
      <c r="F129" s="37" t="s">
        <v>1074</v>
      </c>
      <c r="G129" s="33" t="s">
        <v>638</v>
      </c>
      <c r="H129" s="33" t="s">
        <v>638</v>
      </c>
      <c r="I129" s="33" t="s">
        <v>638</v>
      </c>
      <c r="J129" s="33">
        <v>0</v>
      </c>
      <c r="K129" s="33" t="s">
        <v>1032</v>
      </c>
      <c r="L129" s="33" t="s">
        <v>1033</v>
      </c>
      <c r="M129" s="33">
        <v>6</v>
      </c>
      <c r="N129" s="33" t="s">
        <v>1029</v>
      </c>
      <c r="O129" s="33">
        <v>171042</v>
      </c>
      <c r="P129" s="33"/>
    </row>
    <row r="130" spans="1:16">
      <c r="A130" s="31" t="s">
        <v>256</v>
      </c>
      <c r="B130" s="31" t="s">
        <v>257</v>
      </c>
      <c r="C130" s="31" t="s">
        <v>1026</v>
      </c>
      <c r="D130" s="31" t="s">
        <v>599</v>
      </c>
      <c r="E130" s="31" t="s">
        <v>648</v>
      </c>
      <c r="F130" s="31" t="s">
        <v>649</v>
      </c>
      <c r="G130" s="31" t="s">
        <v>649</v>
      </c>
      <c r="H130" s="33" t="s">
        <v>638</v>
      </c>
      <c r="I130" s="33" t="s">
        <v>638</v>
      </c>
      <c r="J130" s="33">
        <v>0</v>
      </c>
      <c r="K130" s="33" t="s">
        <v>1027</v>
      </c>
      <c r="L130" s="33" t="s">
        <v>1033</v>
      </c>
      <c r="M130" s="33">
        <v>5</v>
      </c>
      <c r="N130" s="33" t="s">
        <v>1029</v>
      </c>
      <c r="O130" s="33">
        <v>0</v>
      </c>
      <c r="P130" s="33">
        <v>0</v>
      </c>
    </row>
    <row r="131" spans="1:16">
      <c r="A131" s="31" t="s">
        <v>258</v>
      </c>
      <c r="B131" s="31" t="s">
        <v>259</v>
      </c>
      <c r="C131" s="31" t="s">
        <v>1026</v>
      </c>
      <c r="D131" s="31" t="s">
        <v>596</v>
      </c>
      <c r="E131" s="31" t="s">
        <v>608</v>
      </c>
      <c r="F131" s="31" t="s">
        <v>610</v>
      </c>
      <c r="G131" s="31" t="s">
        <v>610</v>
      </c>
      <c r="H131" s="33" t="s">
        <v>638</v>
      </c>
      <c r="I131" s="33" t="s">
        <v>638</v>
      </c>
      <c r="J131" s="33">
        <v>0</v>
      </c>
      <c r="K131" s="33" t="s">
        <v>1042</v>
      </c>
      <c r="L131" s="33" t="s">
        <v>1075</v>
      </c>
      <c r="M131" s="33">
        <v>1</v>
      </c>
      <c r="N131" s="33" t="s">
        <v>1043</v>
      </c>
      <c r="O131" s="33">
        <v>0</v>
      </c>
      <c r="P131" s="33">
        <f>VLOOKUP(F131,Royalty!$A$3:$B$49,2,0)</f>
        <v>3</v>
      </c>
    </row>
    <row r="132" spans="1:16">
      <c r="A132" s="40" t="s">
        <v>260</v>
      </c>
      <c r="B132" s="40" t="s">
        <v>261</v>
      </c>
      <c r="C132" s="34" t="s">
        <v>1026</v>
      </c>
      <c r="D132" s="31" t="s">
        <v>1053</v>
      </c>
      <c r="E132" s="31" t="s">
        <v>596</v>
      </c>
      <c r="F132" s="37" t="s">
        <v>1074</v>
      </c>
      <c r="G132" s="33" t="s">
        <v>638</v>
      </c>
      <c r="H132" s="33" t="s">
        <v>638</v>
      </c>
      <c r="I132" s="33" t="s">
        <v>638</v>
      </c>
      <c r="J132" s="33">
        <v>0</v>
      </c>
      <c r="K132" s="33" t="s">
        <v>1032</v>
      </c>
      <c r="L132" s="33" t="s">
        <v>1033</v>
      </c>
      <c r="M132" s="33">
        <v>1</v>
      </c>
      <c r="N132" s="33" t="s">
        <v>1029</v>
      </c>
      <c r="O132" s="33">
        <v>0</v>
      </c>
      <c r="P132" s="33"/>
    </row>
    <row r="133" spans="1:16">
      <c r="A133" s="31" t="s">
        <v>262</v>
      </c>
      <c r="B133" s="31" t="s">
        <v>263</v>
      </c>
      <c r="C133" s="31" t="s">
        <v>653</v>
      </c>
      <c r="D133" s="31" t="s">
        <v>654</v>
      </c>
      <c r="E133" s="31" t="s">
        <v>638</v>
      </c>
      <c r="F133" s="31" t="s">
        <v>638</v>
      </c>
      <c r="G133" s="31" t="s">
        <v>638</v>
      </c>
      <c r="H133" s="33" t="s">
        <v>638</v>
      </c>
      <c r="I133" s="33" t="s">
        <v>638</v>
      </c>
      <c r="J133" s="33">
        <v>0</v>
      </c>
      <c r="K133" s="33" t="s">
        <v>1027</v>
      </c>
      <c r="L133" s="33" t="s">
        <v>1034</v>
      </c>
      <c r="M133" s="33">
        <v>5</v>
      </c>
      <c r="N133" s="33" t="s">
        <v>1037</v>
      </c>
      <c r="O133" s="33">
        <v>171030</v>
      </c>
      <c r="P133" s="33"/>
    </row>
    <row r="134" spans="1:16">
      <c r="A134" s="31" t="s">
        <v>264</v>
      </c>
      <c r="B134" s="31" t="s">
        <v>265</v>
      </c>
      <c r="C134" s="31" t="s">
        <v>653</v>
      </c>
      <c r="D134" s="31" t="s">
        <v>663</v>
      </c>
      <c r="E134" s="31" t="s">
        <v>1059</v>
      </c>
      <c r="F134" s="31" t="s">
        <v>638</v>
      </c>
      <c r="G134" s="31" t="s">
        <v>638</v>
      </c>
      <c r="H134" s="33" t="s">
        <v>638</v>
      </c>
      <c r="I134" s="33" t="s">
        <v>638</v>
      </c>
      <c r="J134" s="33">
        <v>0</v>
      </c>
      <c r="K134" s="33" t="s">
        <v>1042</v>
      </c>
      <c r="L134" s="33" t="s">
        <v>1031</v>
      </c>
      <c r="M134" s="33">
        <v>10</v>
      </c>
      <c r="N134" s="33" t="s">
        <v>1043</v>
      </c>
      <c r="O134" s="33">
        <v>171028</v>
      </c>
      <c r="P134" s="33"/>
    </row>
    <row r="135" spans="1:16">
      <c r="A135" s="31" t="s">
        <v>266</v>
      </c>
      <c r="B135" s="31" t="s">
        <v>267</v>
      </c>
      <c r="C135" s="31" t="s">
        <v>1026</v>
      </c>
      <c r="D135" s="31" t="s">
        <v>1053</v>
      </c>
      <c r="E135" s="31" t="s">
        <v>596</v>
      </c>
      <c r="F135" s="31" t="s">
        <v>651</v>
      </c>
      <c r="G135" s="31" t="s">
        <v>651</v>
      </c>
      <c r="H135" s="33" t="s">
        <v>638</v>
      </c>
      <c r="I135" s="33" t="s">
        <v>638</v>
      </c>
      <c r="J135" s="33">
        <v>0</v>
      </c>
      <c r="K135" s="33" t="s">
        <v>1044</v>
      </c>
      <c r="L135" s="33" t="s">
        <v>1045</v>
      </c>
      <c r="M135" s="33">
        <v>20</v>
      </c>
      <c r="N135" s="33" t="s">
        <v>1062</v>
      </c>
      <c r="O135" s="33">
        <v>0</v>
      </c>
      <c r="P135" s="33"/>
    </row>
    <row r="136" spans="1:16">
      <c r="A136" s="31" t="s">
        <v>268</v>
      </c>
      <c r="B136" s="31" t="s">
        <v>269</v>
      </c>
      <c r="C136" s="31" t="s">
        <v>1026</v>
      </c>
      <c r="D136" s="31" t="s">
        <v>1053</v>
      </c>
      <c r="E136" s="31" t="s">
        <v>596</v>
      </c>
      <c r="F136" s="31" t="s">
        <v>650</v>
      </c>
      <c r="G136" s="31" t="s">
        <v>650</v>
      </c>
      <c r="H136" s="33" t="s">
        <v>638</v>
      </c>
      <c r="I136" s="33" t="s">
        <v>638</v>
      </c>
      <c r="J136" s="33">
        <v>0</v>
      </c>
      <c r="K136" s="33" t="s">
        <v>1042</v>
      </c>
      <c r="L136" s="33" t="s">
        <v>1031</v>
      </c>
      <c r="M136" s="33">
        <v>10</v>
      </c>
      <c r="N136" s="33" t="s">
        <v>1043</v>
      </c>
      <c r="O136" s="33">
        <v>0</v>
      </c>
      <c r="P136" s="33"/>
    </row>
    <row r="137" spans="1:16">
      <c r="A137" s="31" t="s">
        <v>270</v>
      </c>
      <c r="B137" s="31" t="s">
        <v>271</v>
      </c>
      <c r="C137" s="31" t="s">
        <v>653</v>
      </c>
      <c r="D137" s="31" t="s">
        <v>663</v>
      </c>
      <c r="E137" s="31" t="s">
        <v>638</v>
      </c>
      <c r="F137" s="31" t="s">
        <v>638</v>
      </c>
      <c r="G137" s="31" t="s">
        <v>638</v>
      </c>
      <c r="H137" s="33" t="s">
        <v>638</v>
      </c>
      <c r="I137" s="33" t="s">
        <v>638</v>
      </c>
      <c r="J137" s="33">
        <v>0</v>
      </c>
      <c r="K137" s="33" t="s">
        <v>1042</v>
      </c>
      <c r="L137" s="33" t="s">
        <v>1031</v>
      </c>
      <c r="M137" s="33">
        <v>10</v>
      </c>
      <c r="N137" s="33" t="s">
        <v>1043</v>
      </c>
      <c r="O137" s="33">
        <v>0</v>
      </c>
      <c r="P137" s="33"/>
    </row>
    <row r="138" spans="1:16">
      <c r="A138" s="40" t="s">
        <v>272</v>
      </c>
      <c r="B138" s="40" t="s">
        <v>273</v>
      </c>
      <c r="C138" s="34" t="s">
        <v>1026</v>
      </c>
      <c r="D138" s="34" t="s">
        <v>596</v>
      </c>
      <c r="E138" s="37" t="s">
        <v>608</v>
      </c>
      <c r="F138" s="37" t="s">
        <v>610</v>
      </c>
      <c r="G138" s="33" t="s">
        <v>638</v>
      </c>
      <c r="H138" s="33" t="s">
        <v>638</v>
      </c>
      <c r="I138" s="33" t="s">
        <v>638</v>
      </c>
      <c r="J138" s="33">
        <v>0</v>
      </c>
      <c r="K138" s="33" t="s">
        <v>1042</v>
      </c>
      <c r="L138" s="33" t="s">
        <v>1031</v>
      </c>
      <c r="M138" s="33">
        <v>10</v>
      </c>
      <c r="N138" s="33" t="s">
        <v>1043</v>
      </c>
      <c r="O138" s="33">
        <v>0</v>
      </c>
      <c r="P138" s="33">
        <f>VLOOKUP(F138,Royalty!$A$3:$B$49,2,0)</f>
        <v>3</v>
      </c>
    </row>
    <row r="139" spans="1:16">
      <c r="A139" s="31" t="s">
        <v>274</v>
      </c>
      <c r="B139" s="31" t="s">
        <v>275</v>
      </c>
      <c r="C139" s="31" t="s">
        <v>1026</v>
      </c>
      <c r="D139" s="31" t="s">
        <v>1053</v>
      </c>
      <c r="E139" s="31" t="s">
        <v>596</v>
      </c>
      <c r="F139" s="31" t="s">
        <v>651</v>
      </c>
      <c r="G139" s="31" t="s">
        <v>651</v>
      </c>
      <c r="H139" s="33" t="s">
        <v>638</v>
      </c>
      <c r="I139" s="33" t="s">
        <v>638</v>
      </c>
      <c r="J139" s="33">
        <v>0</v>
      </c>
      <c r="K139" s="33" t="s">
        <v>1042</v>
      </c>
      <c r="L139" s="33" t="s">
        <v>1031</v>
      </c>
      <c r="M139" s="33">
        <v>1</v>
      </c>
      <c r="N139" s="33" t="s">
        <v>1043</v>
      </c>
      <c r="O139" s="33">
        <v>172008</v>
      </c>
      <c r="P139" s="33"/>
    </row>
    <row r="140" spans="1:16">
      <c r="A140" s="31" t="s">
        <v>276</v>
      </c>
      <c r="B140" s="31" t="s">
        <v>277</v>
      </c>
      <c r="C140" s="31" t="s">
        <v>1026</v>
      </c>
      <c r="D140" s="31" t="s">
        <v>1053</v>
      </c>
      <c r="E140" s="31" t="s">
        <v>596</v>
      </c>
      <c r="F140" s="31" t="s">
        <v>650</v>
      </c>
      <c r="G140" s="31" t="s">
        <v>650</v>
      </c>
      <c r="H140" s="33" t="s">
        <v>638</v>
      </c>
      <c r="I140" s="33" t="s">
        <v>638</v>
      </c>
      <c r="J140" s="33">
        <v>0</v>
      </c>
      <c r="K140" s="33" t="s">
        <v>1042</v>
      </c>
      <c r="L140" s="33" t="s">
        <v>1064</v>
      </c>
      <c r="M140" s="33">
        <v>20</v>
      </c>
      <c r="N140" s="33" t="s">
        <v>1043</v>
      </c>
      <c r="O140" s="33">
        <v>0</v>
      </c>
      <c r="P140" s="33"/>
    </row>
    <row r="141" spans="1:16">
      <c r="A141" s="31" t="s">
        <v>278</v>
      </c>
      <c r="B141" s="31" t="s">
        <v>679</v>
      </c>
      <c r="C141" s="31" t="s">
        <v>1026</v>
      </c>
      <c r="D141" s="31" t="s">
        <v>1053</v>
      </c>
      <c r="E141" s="31" t="s">
        <v>596</v>
      </c>
      <c r="F141" s="31" t="s">
        <v>680</v>
      </c>
      <c r="G141" s="31" t="s">
        <v>680</v>
      </c>
      <c r="H141" s="33" t="s">
        <v>638</v>
      </c>
      <c r="I141" s="33" t="s">
        <v>638</v>
      </c>
      <c r="J141" s="33">
        <v>0</v>
      </c>
      <c r="K141" s="33" t="s">
        <v>1032</v>
      </c>
      <c r="L141" s="33" t="s">
        <v>1033</v>
      </c>
      <c r="M141" s="33">
        <v>6</v>
      </c>
      <c r="N141" s="33" t="s">
        <v>1029</v>
      </c>
      <c r="O141" s="33">
        <v>0</v>
      </c>
      <c r="P141" s="33"/>
    </row>
    <row r="142" spans="1:16">
      <c r="A142" s="31" t="s">
        <v>280</v>
      </c>
      <c r="B142" s="31" t="s">
        <v>681</v>
      </c>
      <c r="C142" s="31" t="s">
        <v>1026</v>
      </c>
      <c r="D142" s="31" t="s">
        <v>1053</v>
      </c>
      <c r="E142" s="31" t="s">
        <v>596</v>
      </c>
      <c r="F142" s="31" t="s">
        <v>680</v>
      </c>
      <c r="G142" s="31" t="s">
        <v>680</v>
      </c>
      <c r="H142" s="33" t="s">
        <v>638</v>
      </c>
      <c r="I142" s="33" t="s">
        <v>638</v>
      </c>
      <c r="J142" s="33">
        <v>0</v>
      </c>
      <c r="K142" s="33" t="s">
        <v>1067</v>
      </c>
      <c r="L142" s="33" t="s">
        <v>1068</v>
      </c>
      <c r="M142" s="33">
        <v>64</v>
      </c>
      <c r="N142" s="33" t="s">
        <v>1043</v>
      </c>
      <c r="O142" s="33">
        <v>0</v>
      </c>
      <c r="P142" s="33"/>
    </row>
    <row r="143" spans="1:16">
      <c r="A143" s="31" t="s">
        <v>282</v>
      </c>
      <c r="B143" s="31" t="s">
        <v>682</v>
      </c>
      <c r="C143" s="31" t="s">
        <v>1026</v>
      </c>
      <c r="D143" s="31" t="s">
        <v>1053</v>
      </c>
      <c r="E143" s="31" t="s">
        <v>596</v>
      </c>
      <c r="F143" s="31" t="s">
        <v>680</v>
      </c>
      <c r="G143" s="31" t="s">
        <v>680</v>
      </c>
      <c r="H143" s="33" t="s">
        <v>638</v>
      </c>
      <c r="I143" s="33" t="s">
        <v>638</v>
      </c>
      <c r="J143" s="33">
        <v>0</v>
      </c>
      <c r="K143" s="33" t="s">
        <v>1032</v>
      </c>
      <c r="L143" s="33" t="s">
        <v>1033</v>
      </c>
      <c r="M143" s="33">
        <v>6</v>
      </c>
      <c r="N143" s="33" t="s">
        <v>1037</v>
      </c>
      <c r="O143" s="33">
        <v>171029</v>
      </c>
      <c r="P143" s="33"/>
    </row>
    <row r="144" spans="1:16">
      <c r="A144" s="31" t="s">
        <v>284</v>
      </c>
      <c r="B144" s="31" t="s">
        <v>285</v>
      </c>
      <c r="C144" s="31" t="s">
        <v>653</v>
      </c>
      <c r="D144" s="31" t="s">
        <v>673</v>
      </c>
      <c r="E144" s="31" t="s">
        <v>638</v>
      </c>
      <c r="F144" s="31" t="s">
        <v>638</v>
      </c>
      <c r="G144" s="31" t="s">
        <v>638</v>
      </c>
      <c r="H144" s="33" t="s">
        <v>638</v>
      </c>
      <c r="I144" s="33" t="s">
        <v>638</v>
      </c>
      <c r="J144" s="33">
        <v>0</v>
      </c>
      <c r="K144" s="33" t="s">
        <v>1042</v>
      </c>
      <c r="L144" s="33" t="s">
        <v>1075</v>
      </c>
      <c r="M144" s="33">
        <v>1</v>
      </c>
      <c r="N144" s="33" t="s">
        <v>1043</v>
      </c>
      <c r="O144" s="33">
        <v>0</v>
      </c>
      <c r="P144" s="33"/>
    </row>
    <row r="145" spans="1:16">
      <c r="A145" s="38" t="s">
        <v>286</v>
      </c>
      <c r="B145" s="38" t="s">
        <v>287</v>
      </c>
      <c r="C145" s="31" t="s">
        <v>683</v>
      </c>
      <c r="D145" s="37" t="s">
        <v>684</v>
      </c>
      <c r="E145" s="37" t="s">
        <v>638</v>
      </c>
      <c r="F145" s="33" t="s">
        <v>638</v>
      </c>
      <c r="G145" s="33" t="s">
        <v>638</v>
      </c>
      <c r="H145" s="33" t="s">
        <v>638</v>
      </c>
      <c r="I145" s="33" t="s">
        <v>638</v>
      </c>
      <c r="J145" s="33">
        <v>0</v>
      </c>
      <c r="K145" s="33" t="s">
        <v>1042</v>
      </c>
      <c r="L145" s="33" t="s">
        <v>1076</v>
      </c>
      <c r="M145" s="33">
        <v>12</v>
      </c>
      <c r="N145" s="33" t="s">
        <v>1043</v>
      </c>
      <c r="O145" s="33">
        <v>0</v>
      </c>
      <c r="P145" s="33"/>
    </row>
    <row r="146" spans="1:16">
      <c r="A146" s="36" t="s">
        <v>288</v>
      </c>
      <c r="B146" s="36" t="s">
        <v>289</v>
      </c>
      <c r="C146" s="31" t="s">
        <v>683</v>
      </c>
      <c r="D146" s="37" t="s">
        <v>684</v>
      </c>
      <c r="E146" s="37" t="s">
        <v>638</v>
      </c>
      <c r="F146" s="33" t="s">
        <v>638</v>
      </c>
      <c r="G146" s="33" t="s">
        <v>638</v>
      </c>
      <c r="H146" s="33" t="s">
        <v>638</v>
      </c>
      <c r="I146" s="33" t="s">
        <v>638</v>
      </c>
      <c r="J146" s="33">
        <v>0</v>
      </c>
      <c r="K146" s="33" t="s">
        <v>1042</v>
      </c>
      <c r="L146" s="33" t="s">
        <v>1076</v>
      </c>
      <c r="M146" s="33">
        <v>3</v>
      </c>
      <c r="N146" s="33" t="s">
        <v>1043</v>
      </c>
      <c r="O146" s="33">
        <v>0</v>
      </c>
      <c r="P146" s="33"/>
    </row>
    <row r="147" spans="1:16">
      <c r="A147" s="31" t="s">
        <v>290</v>
      </c>
      <c r="B147" s="31" t="s">
        <v>291</v>
      </c>
      <c r="C147" s="31" t="s">
        <v>653</v>
      </c>
      <c r="D147" s="31" t="s">
        <v>663</v>
      </c>
      <c r="E147" s="31" t="s">
        <v>1059</v>
      </c>
      <c r="F147" s="31" t="s">
        <v>1060</v>
      </c>
      <c r="G147" s="31" t="s">
        <v>638</v>
      </c>
      <c r="H147" s="33" t="s">
        <v>638</v>
      </c>
      <c r="I147" s="33" t="s">
        <v>638</v>
      </c>
      <c r="J147" s="33">
        <v>0</v>
      </c>
      <c r="K147" s="33" t="s">
        <v>1042</v>
      </c>
      <c r="L147" s="33" t="s">
        <v>1076</v>
      </c>
      <c r="M147" s="33">
        <v>1</v>
      </c>
      <c r="N147" s="33" t="s">
        <v>1043</v>
      </c>
      <c r="O147" s="33">
        <v>0</v>
      </c>
      <c r="P147" s="33"/>
    </row>
    <row r="148" spans="1:16">
      <c r="A148" s="31" t="s">
        <v>292</v>
      </c>
      <c r="B148" s="31" t="s">
        <v>293</v>
      </c>
      <c r="C148" s="31" t="s">
        <v>1026</v>
      </c>
      <c r="D148" s="31" t="s">
        <v>1053</v>
      </c>
      <c r="E148" s="31" t="s">
        <v>596</v>
      </c>
      <c r="F148" s="31" t="s">
        <v>652</v>
      </c>
      <c r="G148" s="31" t="s">
        <v>652</v>
      </c>
      <c r="H148" s="33" t="s">
        <v>638</v>
      </c>
      <c r="I148" s="33" t="s">
        <v>638</v>
      </c>
      <c r="J148" s="33">
        <v>0</v>
      </c>
      <c r="K148" s="33" t="s">
        <v>1056</v>
      </c>
      <c r="L148" s="33" t="s">
        <v>1057</v>
      </c>
      <c r="M148" s="33">
        <v>1</v>
      </c>
      <c r="N148" s="33" t="s">
        <v>1029</v>
      </c>
      <c r="O148" s="33">
        <v>0</v>
      </c>
      <c r="P148" s="33"/>
    </row>
    <row r="149" spans="1:16">
      <c r="A149" s="31" t="s">
        <v>294</v>
      </c>
      <c r="B149" s="31" t="s">
        <v>295</v>
      </c>
      <c r="C149" s="31" t="s">
        <v>1026</v>
      </c>
      <c r="D149" s="31" t="s">
        <v>1053</v>
      </c>
      <c r="E149" s="31" t="s">
        <v>596</v>
      </c>
      <c r="F149" s="31" t="s">
        <v>652</v>
      </c>
      <c r="G149" s="31" t="s">
        <v>652</v>
      </c>
      <c r="H149" s="33" t="s">
        <v>638</v>
      </c>
      <c r="I149" s="33" t="s">
        <v>638</v>
      </c>
      <c r="J149" s="33">
        <v>0</v>
      </c>
      <c r="K149" s="33" t="s">
        <v>1027</v>
      </c>
      <c r="L149" s="33" t="s">
        <v>1028</v>
      </c>
      <c r="M149" s="33">
        <v>5</v>
      </c>
      <c r="N149" s="33" t="s">
        <v>1029</v>
      </c>
      <c r="O149" s="33">
        <v>0</v>
      </c>
      <c r="P149" s="33"/>
    </row>
    <row r="150" spans="1:16">
      <c r="A150" s="31" t="s">
        <v>296</v>
      </c>
      <c r="B150" s="31" t="s">
        <v>297</v>
      </c>
      <c r="C150" s="31" t="s">
        <v>653</v>
      </c>
      <c r="D150" s="31" t="s">
        <v>663</v>
      </c>
      <c r="E150" s="31" t="s">
        <v>1059</v>
      </c>
      <c r="F150" s="31" t="s">
        <v>638</v>
      </c>
      <c r="G150" s="31" t="s">
        <v>638</v>
      </c>
      <c r="H150" s="33" t="s">
        <v>638</v>
      </c>
      <c r="I150" s="33" t="s">
        <v>638</v>
      </c>
      <c r="J150" s="33">
        <v>0</v>
      </c>
      <c r="K150" s="33" t="s">
        <v>1061</v>
      </c>
      <c r="L150" s="33" t="s">
        <v>1057</v>
      </c>
      <c r="M150" s="33">
        <v>1</v>
      </c>
      <c r="N150" s="33">
        <v>0</v>
      </c>
      <c r="O150" s="33">
        <v>0</v>
      </c>
      <c r="P150" s="33"/>
    </row>
    <row r="151" spans="1:16">
      <c r="A151" s="31" t="s">
        <v>298</v>
      </c>
      <c r="B151" s="31" t="s">
        <v>299</v>
      </c>
      <c r="C151" s="31" t="s">
        <v>1026</v>
      </c>
      <c r="D151" s="31" t="s">
        <v>596</v>
      </c>
      <c r="E151" s="31" t="s">
        <v>685</v>
      </c>
      <c r="F151" s="31" t="s">
        <v>686</v>
      </c>
      <c r="G151" s="31" t="s">
        <v>686</v>
      </c>
      <c r="H151" s="33" t="s">
        <v>638</v>
      </c>
      <c r="I151" s="33" t="s">
        <v>638</v>
      </c>
      <c r="J151" s="33">
        <v>0</v>
      </c>
      <c r="K151" s="33" t="s">
        <v>1061</v>
      </c>
      <c r="L151" s="33" t="s">
        <v>1057</v>
      </c>
      <c r="M151" s="33">
        <v>1</v>
      </c>
      <c r="N151" s="33">
        <v>0</v>
      </c>
      <c r="O151" s="33">
        <v>0</v>
      </c>
      <c r="P151" s="33">
        <f>VLOOKUP(F151,Royalty!$A$3:$B$49,2,0)</f>
        <v>3</v>
      </c>
    </row>
    <row r="152" spans="1:16">
      <c r="A152" s="31" t="s">
        <v>300</v>
      </c>
      <c r="B152" s="31" t="s">
        <v>301</v>
      </c>
      <c r="C152" s="31" t="s">
        <v>1026</v>
      </c>
      <c r="D152" s="31" t="s">
        <v>596</v>
      </c>
      <c r="E152" s="31" t="s">
        <v>685</v>
      </c>
      <c r="F152" s="31" t="s">
        <v>687</v>
      </c>
      <c r="G152" s="31" t="s">
        <v>687</v>
      </c>
      <c r="H152" s="33" t="s">
        <v>638</v>
      </c>
      <c r="I152" s="33" t="s">
        <v>638</v>
      </c>
      <c r="J152" s="33">
        <v>0</v>
      </c>
      <c r="K152" s="33" t="s">
        <v>1061</v>
      </c>
      <c r="L152" s="33" t="s">
        <v>1057</v>
      </c>
      <c r="M152" s="33">
        <v>1</v>
      </c>
      <c r="N152" s="33" t="s">
        <v>1029</v>
      </c>
      <c r="O152" s="33">
        <v>0</v>
      </c>
      <c r="P152" s="33">
        <f>VLOOKUP(F152,Royalty!$A$3:$B$49,2,0)</f>
        <v>3</v>
      </c>
    </row>
    <row r="153" spans="1:16">
      <c r="A153" s="31" t="s">
        <v>302</v>
      </c>
      <c r="B153" s="31" t="s">
        <v>303</v>
      </c>
      <c r="C153" s="31" t="s">
        <v>1026</v>
      </c>
      <c r="D153" s="31" t="s">
        <v>596</v>
      </c>
      <c r="E153" s="31" t="s">
        <v>685</v>
      </c>
      <c r="F153" s="31" t="s">
        <v>688</v>
      </c>
      <c r="G153" s="31" t="s">
        <v>688</v>
      </c>
      <c r="H153" s="33" t="s">
        <v>638</v>
      </c>
      <c r="I153" s="33" t="s">
        <v>638</v>
      </c>
      <c r="J153" s="33">
        <v>0</v>
      </c>
      <c r="K153" s="33" t="s">
        <v>1032</v>
      </c>
      <c r="L153" s="33" t="s">
        <v>1034</v>
      </c>
      <c r="M153" s="33">
        <v>6</v>
      </c>
      <c r="N153" s="33" t="s">
        <v>1029</v>
      </c>
      <c r="O153" s="33">
        <v>0</v>
      </c>
      <c r="P153" s="33">
        <f>VLOOKUP(F153,Royalty!$A$3:$B$49,2,0)</f>
        <v>3</v>
      </c>
    </row>
    <row r="154" spans="1:16">
      <c r="A154" s="31" t="s">
        <v>304</v>
      </c>
      <c r="B154" s="31" t="s">
        <v>305</v>
      </c>
      <c r="C154" s="31" t="s">
        <v>1026</v>
      </c>
      <c r="D154" s="31" t="s">
        <v>599</v>
      </c>
      <c r="E154" s="31" t="s">
        <v>613</v>
      </c>
      <c r="F154" s="31" t="s">
        <v>689</v>
      </c>
      <c r="G154" s="31" t="s">
        <v>689</v>
      </c>
      <c r="H154" s="33" t="s">
        <v>638</v>
      </c>
      <c r="I154" s="33" t="s">
        <v>638</v>
      </c>
      <c r="J154" s="33">
        <v>0</v>
      </c>
      <c r="K154" s="33" t="s">
        <v>1056</v>
      </c>
      <c r="L154" s="33" t="s">
        <v>1057</v>
      </c>
      <c r="M154" s="33">
        <v>1</v>
      </c>
      <c r="N154" s="33" t="s">
        <v>1029</v>
      </c>
      <c r="O154" s="33">
        <v>0</v>
      </c>
      <c r="P154" s="33"/>
    </row>
    <row r="155" spans="1:16">
      <c r="A155" s="31" t="s">
        <v>306</v>
      </c>
      <c r="B155" s="31" t="s">
        <v>307</v>
      </c>
      <c r="C155" s="31" t="s">
        <v>1026</v>
      </c>
      <c r="D155" s="31" t="s">
        <v>596</v>
      </c>
      <c r="E155" s="31" t="s">
        <v>597</v>
      </c>
      <c r="F155" s="31" t="s">
        <v>598</v>
      </c>
      <c r="G155" s="31" t="s">
        <v>598</v>
      </c>
      <c r="H155" s="33" t="s">
        <v>638</v>
      </c>
      <c r="I155" s="33" t="s">
        <v>638</v>
      </c>
      <c r="J155" s="33">
        <v>0</v>
      </c>
      <c r="K155" s="33" t="s">
        <v>1027</v>
      </c>
      <c r="L155" s="33" t="s">
        <v>1034</v>
      </c>
      <c r="M155" s="33">
        <v>5</v>
      </c>
      <c r="N155" s="33" t="s">
        <v>1037</v>
      </c>
      <c r="O155" s="33">
        <v>0</v>
      </c>
      <c r="P155" s="33">
        <f>VLOOKUP(F155,Royalty!$A$3:$B$49,2,0)</f>
        <v>2</v>
      </c>
    </row>
    <row r="156" spans="1:16">
      <c r="A156" s="31" t="s">
        <v>308</v>
      </c>
      <c r="B156" s="31" t="s">
        <v>309</v>
      </c>
      <c r="C156" s="31" t="s">
        <v>1026</v>
      </c>
      <c r="D156" s="31" t="s">
        <v>596</v>
      </c>
      <c r="E156" s="31" t="s">
        <v>597</v>
      </c>
      <c r="F156" s="31" t="s">
        <v>651</v>
      </c>
      <c r="G156" s="31" t="s">
        <v>651</v>
      </c>
      <c r="H156" s="33" t="s">
        <v>638</v>
      </c>
      <c r="I156" s="33" t="s">
        <v>638</v>
      </c>
      <c r="J156" s="33">
        <v>0</v>
      </c>
      <c r="K156" s="33" t="s">
        <v>1032</v>
      </c>
      <c r="L156" s="33" t="s">
        <v>1033</v>
      </c>
      <c r="M156" s="33">
        <v>6</v>
      </c>
      <c r="N156" s="33" t="s">
        <v>1037</v>
      </c>
      <c r="O156" s="33">
        <v>0</v>
      </c>
      <c r="P156" s="33"/>
    </row>
    <row r="157" spans="1:16">
      <c r="A157" s="31" t="s">
        <v>310</v>
      </c>
      <c r="B157" s="31" t="s">
        <v>311</v>
      </c>
      <c r="C157" s="31" t="s">
        <v>1026</v>
      </c>
      <c r="D157" s="31" t="s">
        <v>596</v>
      </c>
      <c r="E157" s="31" t="s">
        <v>608</v>
      </c>
      <c r="F157" s="31" t="s">
        <v>650</v>
      </c>
      <c r="G157" s="31" t="s">
        <v>650</v>
      </c>
      <c r="H157" s="33" t="s">
        <v>638</v>
      </c>
      <c r="I157" s="33" t="s">
        <v>638</v>
      </c>
      <c r="J157" s="33">
        <v>0</v>
      </c>
      <c r="K157" s="33" t="s">
        <v>1056</v>
      </c>
      <c r="L157" s="33" t="s">
        <v>1057</v>
      </c>
      <c r="M157" s="33">
        <v>1</v>
      </c>
      <c r="N157" s="33" t="s">
        <v>1029</v>
      </c>
      <c r="O157" s="33">
        <v>0</v>
      </c>
      <c r="P157" s="33"/>
    </row>
    <row r="158" spans="1:16">
      <c r="A158" s="31" t="s">
        <v>312</v>
      </c>
      <c r="B158" s="31" t="s">
        <v>313</v>
      </c>
      <c r="C158" s="31" t="s">
        <v>1026</v>
      </c>
      <c r="D158" s="31" t="s">
        <v>596</v>
      </c>
      <c r="E158" s="31" t="s">
        <v>605</v>
      </c>
      <c r="F158" s="31" t="s">
        <v>652</v>
      </c>
      <c r="G158" s="31" t="s">
        <v>652</v>
      </c>
      <c r="H158" s="33" t="s">
        <v>638</v>
      </c>
      <c r="I158" s="33" t="s">
        <v>638</v>
      </c>
      <c r="J158" s="33">
        <v>0</v>
      </c>
      <c r="K158" s="33" t="s">
        <v>1061</v>
      </c>
      <c r="L158" s="33" t="s">
        <v>1057</v>
      </c>
      <c r="M158" s="33">
        <v>1</v>
      </c>
      <c r="N158" s="33" t="s">
        <v>1029</v>
      </c>
      <c r="O158" s="33">
        <v>0</v>
      </c>
      <c r="P158" s="33"/>
    </row>
    <row r="159" spans="1:16">
      <c r="A159" s="31" t="s">
        <v>314</v>
      </c>
      <c r="B159" s="31" t="s">
        <v>315</v>
      </c>
      <c r="C159" s="31" t="s">
        <v>653</v>
      </c>
      <c r="D159" s="31" t="s">
        <v>671</v>
      </c>
      <c r="E159" s="31" t="s">
        <v>638</v>
      </c>
      <c r="F159" s="31" t="s">
        <v>638</v>
      </c>
      <c r="G159" s="31" t="s">
        <v>638</v>
      </c>
      <c r="H159" s="33" t="s">
        <v>638</v>
      </c>
      <c r="I159" s="33" t="s">
        <v>638</v>
      </c>
      <c r="J159" s="33">
        <v>0</v>
      </c>
      <c r="K159" s="33" t="s">
        <v>1061</v>
      </c>
      <c r="L159" s="33" t="s">
        <v>1057</v>
      </c>
      <c r="M159" s="33">
        <v>1</v>
      </c>
      <c r="N159" s="33" t="s">
        <v>1029</v>
      </c>
      <c r="O159" s="33">
        <v>0</v>
      </c>
      <c r="P159" s="33"/>
    </row>
    <row r="160" spans="1:16">
      <c r="A160" s="31" t="s">
        <v>316</v>
      </c>
      <c r="B160" s="31" t="s">
        <v>317</v>
      </c>
      <c r="C160" s="31" t="s">
        <v>714</v>
      </c>
      <c r="D160" s="31" t="s">
        <v>691</v>
      </c>
      <c r="E160" s="31" t="s">
        <v>692</v>
      </c>
      <c r="F160" s="31" t="s">
        <v>638</v>
      </c>
      <c r="G160" s="31" t="s">
        <v>638</v>
      </c>
      <c r="H160" s="33" t="s">
        <v>638</v>
      </c>
      <c r="I160" s="33" t="s">
        <v>638</v>
      </c>
      <c r="J160" s="33">
        <v>0</v>
      </c>
      <c r="K160" s="33" t="s">
        <v>1050</v>
      </c>
      <c r="L160" s="33" t="s">
        <v>1051</v>
      </c>
      <c r="M160" s="33">
        <v>25</v>
      </c>
      <c r="N160" s="33" t="s">
        <v>1029</v>
      </c>
      <c r="O160" s="33">
        <v>0</v>
      </c>
      <c r="P160" s="33"/>
    </row>
    <row r="161" spans="1:16">
      <c r="A161" s="31" t="s">
        <v>318</v>
      </c>
      <c r="B161" s="31" t="s">
        <v>319</v>
      </c>
      <c r="C161" s="31" t="s">
        <v>714</v>
      </c>
      <c r="D161" s="31" t="s">
        <v>691</v>
      </c>
      <c r="E161" s="31" t="s">
        <v>692</v>
      </c>
      <c r="F161" s="31" t="s">
        <v>638</v>
      </c>
      <c r="G161" s="31" t="s">
        <v>638</v>
      </c>
      <c r="H161" s="33" t="s">
        <v>638</v>
      </c>
      <c r="I161" s="33" t="s">
        <v>638</v>
      </c>
      <c r="J161" s="33">
        <v>0</v>
      </c>
      <c r="K161" s="33" t="s">
        <v>1027</v>
      </c>
      <c r="L161" s="33" t="s">
        <v>1028</v>
      </c>
      <c r="M161" s="33">
        <v>5</v>
      </c>
      <c r="N161" s="33" t="s">
        <v>1037</v>
      </c>
      <c r="O161" s="33">
        <v>0</v>
      </c>
      <c r="P161" s="33"/>
    </row>
    <row r="162" spans="1:16">
      <c r="A162" s="31" t="s">
        <v>320</v>
      </c>
      <c r="B162" s="31" t="s">
        <v>321</v>
      </c>
      <c r="C162" s="31" t="s">
        <v>714</v>
      </c>
      <c r="D162" s="31" t="s">
        <v>691</v>
      </c>
      <c r="E162" s="31" t="s">
        <v>692</v>
      </c>
      <c r="F162" s="31" t="s">
        <v>638</v>
      </c>
      <c r="G162" s="31" t="s">
        <v>638</v>
      </c>
      <c r="H162" s="33" t="s">
        <v>638</v>
      </c>
      <c r="I162" s="33" t="s">
        <v>638</v>
      </c>
      <c r="J162" s="33">
        <v>0</v>
      </c>
      <c r="K162" s="33" t="s">
        <v>1042</v>
      </c>
      <c r="L162" s="33" t="s">
        <v>1064</v>
      </c>
      <c r="M162" s="33">
        <v>1</v>
      </c>
      <c r="N162" s="33" t="s">
        <v>1043</v>
      </c>
      <c r="O162" s="33">
        <v>0</v>
      </c>
      <c r="P162" s="33"/>
    </row>
    <row r="163" spans="1:16">
      <c r="A163" s="31" t="s">
        <v>322</v>
      </c>
      <c r="B163" s="31" t="s">
        <v>323</v>
      </c>
      <c r="C163" s="31" t="s">
        <v>1026</v>
      </c>
      <c r="D163" s="31" t="s">
        <v>656</v>
      </c>
      <c r="E163" s="31" t="s">
        <v>657</v>
      </c>
      <c r="F163" s="31" t="s">
        <v>638</v>
      </c>
      <c r="G163" s="31" t="s">
        <v>638</v>
      </c>
      <c r="H163" s="33" t="s">
        <v>638</v>
      </c>
      <c r="I163" s="33" t="s">
        <v>638</v>
      </c>
      <c r="J163" s="33">
        <v>0</v>
      </c>
      <c r="K163" s="33" t="s">
        <v>1042</v>
      </c>
      <c r="L163" s="33" t="s">
        <v>1031</v>
      </c>
      <c r="M163" s="33">
        <v>10</v>
      </c>
      <c r="N163" s="33" t="s">
        <v>1043</v>
      </c>
      <c r="O163" s="33">
        <v>0</v>
      </c>
      <c r="P163" s="33"/>
    </row>
    <row r="164" spans="1:16">
      <c r="A164" s="31" t="s">
        <v>324</v>
      </c>
      <c r="B164" s="31" t="s">
        <v>325</v>
      </c>
      <c r="C164" s="31" t="s">
        <v>1026</v>
      </c>
      <c r="D164" s="31" t="s">
        <v>596</v>
      </c>
      <c r="E164" s="31" t="s">
        <v>597</v>
      </c>
      <c r="F164" s="31" t="s">
        <v>693</v>
      </c>
      <c r="G164" s="31" t="s">
        <v>693</v>
      </c>
      <c r="H164" s="33" t="s">
        <v>638</v>
      </c>
      <c r="I164" s="33" t="s">
        <v>638</v>
      </c>
      <c r="J164" s="33">
        <v>0</v>
      </c>
      <c r="K164" s="33" t="s">
        <v>1067</v>
      </c>
      <c r="L164" s="33" t="s">
        <v>1068</v>
      </c>
      <c r="M164" s="33">
        <v>1</v>
      </c>
      <c r="N164" s="33" t="s">
        <v>1043</v>
      </c>
      <c r="O164" s="33">
        <v>0</v>
      </c>
      <c r="P164" s="33"/>
    </row>
    <row r="165" spans="1:16">
      <c r="A165" s="31" t="s">
        <v>326</v>
      </c>
      <c r="B165" s="31" t="s">
        <v>327</v>
      </c>
      <c r="C165" s="31" t="s">
        <v>1026</v>
      </c>
      <c r="D165" s="31" t="s">
        <v>656</v>
      </c>
      <c r="E165" s="31" t="s">
        <v>668</v>
      </c>
      <c r="F165" s="31" t="s">
        <v>638</v>
      </c>
      <c r="G165" s="31" t="s">
        <v>638</v>
      </c>
      <c r="H165" s="33" t="s">
        <v>638</v>
      </c>
      <c r="I165" s="33" t="s">
        <v>638</v>
      </c>
      <c r="J165" s="33">
        <v>0</v>
      </c>
      <c r="K165" s="33" t="s">
        <v>1032</v>
      </c>
      <c r="L165" s="33" t="s">
        <v>1033</v>
      </c>
      <c r="M165" s="33">
        <v>6</v>
      </c>
      <c r="N165" s="33" t="s">
        <v>1029</v>
      </c>
      <c r="O165" s="33">
        <v>0</v>
      </c>
      <c r="P165" s="33"/>
    </row>
    <row r="166" spans="1:16">
      <c r="A166" s="31" t="s">
        <v>328</v>
      </c>
      <c r="B166" s="31" t="s">
        <v>329</v>
      </c>
      <c r="C166" s="31" t="s">
        <v>1026</v>
      </c>
      <c r="D166" s="31" t="s">
        <v>656</v>
      </c>
      <c r="E166" s="31" t="s">
        <v>668</v>
      </c>
      <c r="F166" s="31" t="s">
        <v>638</v>
      </c>
      <c r="G166" s="31" t="s">
        <v>638</v>
      </c>
      <c r="H166" s="33" t="s">
        <v>638</v>
      </c>
      <c r="I166" s="33" t="s">
        <v>638</v>
      </c>
      <c r="J166" s="33">
        <v>0</v>
      </c>
      <c r="K166" s="33" t="s">
        <v>1042</v>
      </c>
      <c r="L166" s="33" t="s">
        <v>1031</v>
      </c>
      <c r="M166" s="33">
        <v>10</v>
      </c>
      <c r="N166" s="33" t="s">
        <v>1043</v>
      </c>
      <c r="O166" s="33">
        <v>172001</v>
      </c>
      <c r="P166" s="33"/>
    </row>
    <row r="167" spans="1:16">
      <c r="A167" s="31" t="s">
        <v>330</v>
      </c>
      <c r="B167" s="31" t="s">
        <v>331</v>
      </c>
      <c r="C167" s="31" t="s">
        <v>1026</v>
      </c>
      <c r="D167" s="31" t="s">
        <v>656</v>
      </c>
      <c r="E167" s="31" t="s">
        <v>668</v>
      </c>
      <c r="F167" s="31" t="s">
        <v>638</v>
      </c>
      <c r="G167" s="31" t="s">
        <v>638</v>
      </c>
      <c r="H167" s="33" t="s">
        <v>638</v>
      </c>
      <c r="I167" s="33" t="s">
        <v>638</v>
      </c>
      <c r="J167" s="33">
        <v>0</v>
      </c>
      <c r="K167" s="33" t="s">
        <v>1072</v>
      </c>
      <c r="L167" s="33" t="s">
        <v>1077</v>
      </c>
      <c r="M167" s="33">
        <v>30</v>
      </c>
      <c r="N167" s="33">
        <v>0</v>
      </c>
      <c r="O167" s="33">
        <v>0</v>
      </c>
      <c r="P167" s="33"/>
    </row>
    <row r="168" spans="1:16">
      <c r="A168" s="31" t="s">
        <v>332</v>
      </c>
      <c r="B168" s="31" t="s">
        <v>333</v>
      </c>
      <c r="C168" s="31" t="s">
        <v>1026</v>
      </c>
      <c r="D168" s="31" t="s">
        <v>636</v>
      </c>
      <c r="E168" s="31" t="s">
        <v>637</v>
      </c>
      <c r="F168" s="31" t="s">
        <v>694</v>
      </c>
      <c r="G168" s="31" t="s">
        <v>694</v>
      </c>
      <c r="H168" s="33" t="s">
        <v>638</v>
      </c>
      <c r="I168" s="33" t="s">
        <v>638</v>
      </c>
      <c r="J168" s="33">
        <v>0</v>
      </c>
      <c r="K168" s="33" t="s">
        <v>1056</v>
      </c>
      <c r="L168" s="33" t="s">
        <v>1057</v>
      </c>
      <c r="M168" s="33">
        <v>1</v>
      </c>
      <c r="N168" s="33" t="s">
        <v>1029</v>
      </c>
      <c r="O168" s="33">
        <v>0</v>
      </c>
      <c r="P168" s="33"/>
    </row>
    <row r="169" spans="1:16">
      <c r="A169" s="31" t="s">
        <v>334</v>
      </c>
      <c r="B169" s="31" t="s">
        <v>335</v>
      </c>
      <c r="C169" s="31" t="s">
        <v>1026</v>
      </c>
      <c r="D169" s="31" t="s">
        <v>695</v>
      </c>
      <c r="E169" s="31" t="s">
        <v>696</v>
      </c>
      <c r="F169" s="31" t="s">
        <v>638</v>
      </c>
      <c r="G169" s="31" t="s">
        <v>638</v>
      </c>
      <c r="H169" s="33" t="s">
        <v>638</v>
      </c>
      <c r="I169" s="33" t="s">
        <v>638</v>
      </c>
      <c r="J169" s="33">
        <v>0</v>
      </c>
      <c r="K169" s="33" t="s">
        <v>1030</v>
      </c>
      <c r="L169" s="33" t="s">
        <v>1028</v>
      </c>
      <c r="M169" s="33">
        <v>1</v>
      </c>
      <c r="N169" s="33" t="s">
        <v>1029</v>
      </c>
      <c r="O169" s="33">
        <v>0</v>
      </c>
      <c r="P169" s="33"/>
    </row>
    <row r="170" spans="1:16">
      <c r="A170" s="31" t="s">
        <v>336</v>
      </c>
      <c r="B170" s="31" t="s">
        <v>337</v>
      </c>
      <c r="C170" s="31" t="s">
        <v>1026</v>
      </c>
      <c r="D170" s="31" t="s">
        <v>599</v>
      </c>
      <c r="E170" s="31" t="s">
        <v>616</v>
      </c>
      <c r="F170" s="31" t="s">
        <v>617</v>
      </c>
      <c r="G170" s="31" t="s">
        <v>1041</v>
      </c>
      <c r="H170" s="33" t="s">
        <v>638</v>
      </c>
      <c r="I170" s="33" t="s">
        <v>638</v>
      </c>
      <c r="J170" s="33">
        <v>0</v>
      </c>
      <c r="K170" s="33" t="s">
        <v>1030</v>
      </c>
      <c r="L170" s="33" t="s">
        <v>1058</v>
      </c>
      <c r="M170" s="33">
        <v>1</v>
      </c>
      <c r="N170" s="33" t="s">
        <v>1029</v>
      </c>
      <c r="O170" s="33">
        <v>0</v>
      </c>
      <c r="P170" s="33">
        <f>VLOOKUP(F170,Royalty!$A$3:$B$49,2,0)</f>
        <v>2</v>
      </c>
    </row>
    <row r="171" spans="1:16">
      <c r="A171" s="31" t="s">
        <v>338</v>
      </c>
      <c r="B171" s="31" t="s">
        <v>339</v>
      </c>
      <c r="C171" s="31" t="s">
        <v>1026</v>
      </c>
      <c r="D171" s="31" t="s">
        <v>599</v>
      </c>
      <c r="E171" s="31" t="s">
        <v>616</v>
      </c>
      <c r="F171" s="31" t="s">
        <v>617</v>
      </c>
      <c r="G171" s="31" t="s">
        <v>1041</v>
      </c>
      <c r="H171" s="33" t="s">
        <v>638</v>
      </c>
      <c r="I171" s="33" t="s">
        <v>638</v>
      </c>
      <c r="J171" s="33">
        <v>0</v>
      </c>
      <c r="K171" s="33" t="s">
        <v>1032</v>
      </c>
      <c r="L171" s="33" t="s">
        <v>1033</v>
      </c>
      <c r="M171" s="33">
        <v>1</v>
      </c>
      <c r="N171" s="33" t="s">
        <v>1037</v>
      </c>
      <c r="O171" s="33">
        <v>0</v>
      </c>
      <c r="P171" s="33">
        <f>VLOOKUP(F171,Royalty!$A$3:$B$49,2,0)</f>
        <v>2</v>
      </c>
    </row>
    <row r="172" spans="1:16">
      <c r="A172" s="31" t="s">
        <v>340</v>
      </c>
      <c r="B172" s="31" t="s">
        <v>341</v>
      </c>
      <c r="C172" s="31" t="s">
        <v>1026</v>
      </c>
      <c r="D172" s="31" t="s">
        <v>695</v>
      </c>
      <c r="E172" s="31" t="s">
        <v>696</v>
      </c>
      <c r="F172" s="31" t="s">
        <v>638</v>
      </c>
      <c r="G172" s="31" t="s">
        <v>638</v>
      </c>
      <c r="H172" s="33" t="s">
        <v>638</v>
      </c>
      <c r="I172" s="33" t="s">
        <v>638</v>
      </c>
      <c r="J172" s="33">
        <v>0</v>
      </c>
      <c r="K172" s="33">
        <v>0</v>
      </c>
      <c r="L172" s="33" t="s">
        <v>1057</v>
      </c>
      <c r="M172" s="33">
        <v>1</v>
      </c>
      <c r="N172" s="33">
        <v>0</v>
      </c>
      <c r="O172" s="33">
        <v>0</v>
      </c>
      <c r="P172" s="33"/>
    </row>
    <row r="173" spans="1:16">
      <c r="A173" s="31" t="s">
        <v>342</v>
      </c>
      <c r="B173" s="31" t="s">
        <v>343</v>
      </c>
      <c r="C173" s="31" t="s">
        <v>1026</v>
      </c>
      <c r="D173" s="31" t="s">
        <v>656</v>
      </c>
      <c r="E173" s="31" t="s">
        <v>668</v>
      </c>
      <c r="F173" s="31" t="s">
        <v>638</v>
      </c>
      <c r="G173" s="31" t="s">
        <v>638</v>
      </c>
      <c r="H173" s="33" t="s">
        <v>638</v>
      </c>
      <c r="I173" s="33" t="s">
        <v>638</v>
      </c>
      <c r="J173" s="33">
        <v>0</v>
      </c>
      <c r="K173" s="33" t="s">
        <v>1042</v>
      </c>
      <c r="L173" s="33" t="s">
        <v>1064</v>
      </c>
      <c r="M173" s="33">
        <v>20</v>
      </c>
      <c r="N173" s="33" t="s">
        <v>1043</v>
      </c>
      <c r="O173" s="33">
        <v>0</v>
      </c>
      <c r="P173" s="33"/>
    </row>
    <row r="174" spans="1:16">
      <c r="A174" s="31" t="s">
        <v>344</v>
      </c>
      <c r="B174" s="31" t="s">
        <v>345</v>
      </c>
      <c r="C174" s="31" t="s">
        <v>1026</v>
      </c>
      <c r="D174" s="31" t="s">
        <v>656</v>
      </c>
      <c r="E174" s="31" t="s">
        <v>668</v>
      </c>
      <c r="F174" s="31" t="s">
        <v>638</v>
      </c>
      <c r="G174" s="31" t="s">
        <v>638</v>
      </c>
      <c r="H174" s="33" t="s">
        <v>638</v>
      </c>
      <c r="I174" s="33" t="s">
        <v>638</v>
      </c>
      <c r="J174" s="33">
        <v>0</v>
      </c>
      <c r="K174" s="33" t="s">
        <v>1032</v>
      </c>
      <c r="L174" s="33" t="s">
        <v>1057</v>
      </c>
      <c r="M174" s="33">
        <v>6</v>
      </c>
      <c r="N174" s="33">
        <v>0</v>
      </c>
      <c r="O174" s="33">
        <v>0</v>
      </c>
      <c r="P174" s="33"/>
    </row>
    <row r="175" spans="1:16">
      <c r="A175" s="31" t="s">
        <v>346</v>
      </c>
      <c r="B175" s="31" t="s">
        <v>347</v>
      </c>
      <c r="C175" s="31" t="s">
        <v>1026</v>
      </c>
      <c r="D175" s="31" t="s">
        <v>636</v>
      </c>
      <c r="E175" s="31" t="s">
        <v>637</v>
      </c>
      <c r="F175" s="31" t="s">
        <v>638</v>
      </c>
      <c r="G175" s="31" t="s">
        <v>638</v>
      </c>
      <c r="H175" s="33" t="s">
        <v>638</v>
      </c>
      <c r="I175" s="33" t="s">
        <v>638</v>
      </c>
      <c r="J175" s="33">
        <v>0</v>
      </c>
      <c r="K175" s="33" t="s">
        <v>1032</v>
      </c>
      <c r="L175" s="33" t="s">
        <v>1057</v>
      </c>
      <c r="M175" s="33">
        <v>6</v>
      </c>
      <c r="N175" s="33">
        <v>0</v>
      </c>
      <c r="O175" s="33">
        <v>0</v>
      </c>
      <c r="P175" s="33"/>
    </row>
    <row r="176" spans="1:16">
      <c r="A176" s="31" t="s">
        <v>348</v>
      </c>
      <c r="B176" s="31" t="s">
        <v>349</v>
      </c>
      <c r="C176" s="31" t="s">
        <v>1026</v>
      </c>
      <c r="D176" s="31" t="s">
        <v>596</v>
      </c>
      <c r="E176" s="31" t="s">
        <v>605</v>
      </c>
      <c r="F176" s="31" t="s">
        <v>697</v>
      </c>
      <c r="G176" s="31" t="s">
        <v>697</v>
      </c>
      <c r="H176" s="33" t="s">
        <v>638</v>
      </c>
      <c r="I176" s="33" t="s">
        <v>638</v>
      </c>
      <c r="J176" s="33">
        <v>0</v>
      </c>
      <c r="K176" s="33" t="s">
        <v>1042</v>
      </c>
      <c r="L176" s="33" t="s">
        <v>1031</v>
      </c>
      <c r="M176" s="33">
        <v>10</v>
      </c>
      <c r="N176" s="33" t="s">
        <v>1043</v>
      </c>
      <c r="O176" s="33">
        <v>0</v>
      </c>
      <c r="P176" s="33"/>
    </row>
    <row r="177" spans="1:16">
      <c r="A177" s="31" t="s">
        <v>350</v>
      </c>
      <c r="B177" s="31" t="s">
        <v>351</v>
      </c>
      <c r="C177" s="31" t="s">
        <v>1026</v>
      </c>
      <c r="D177" s="31" t="s">
        <v>596</v>
      </c>
      <c r="E177" s="31" t="s">
        <v>597</v>
      </c>
      <c r="F177" s="31" t="s">
        <v>698</v>
      </c>
      <c r="G177" s="31" t="s">
        <v>698</v>
      </c>
      <c r="H177" s="33" t="s">
        <v>638</v>
      </c>
      <c r="I177" s="33" t="s">
        <v>638</v>
      </c>
      <c r="J177" s="33">
        <v>0</v>
      </c>
      <c r="K177" s="33" t="s">
        <v>1067</v>
      </c>
      <c r="L177" s="33" t="s">
        <v>1068</v>
      </c>
      <c r="M177" s="33">
        <v>1</v>
      </c>
      <c r="N177" s="33" t="s">
        <v>1043</v>
      </c>
      <c r="O177" s="33">
        <v>0</v>
      </c>
      <c r="P177" s="33"/>
    </row>
    <row r="178" spans="1:16">
      <c r="A178" s="31" t="s">
        <v>352</v>
      </c>
      <c r="B178" s="31" t="s">
        <v>353</v>
      </c>
      <c r="C178" s="31" t="s">
        <v>1026</v>
      </c>
      <c r="D178" s="31" t="s">
        <v>699</v>
      </c>
      <c r="E178" s="31" t="s">
        <v>700</v>
      </c>
      <c r="F178" s="31" t="s">
        <v>638</v>
      </c>
      <c r="G178" s="31" t="s">
        <v>638</v>
      </c>
      <c r="H178" s="33" t="s">
        <v>638</v>
      </c>
      <c r="I178" s="33" t="s">
        <v>638</v>
      </c>
      <c r="J178" s="33">
        <v>0</v>
      </c>
      <c r="K178" s="33" t="s">
        <v>1032</v>
      </c>
      <c r="L178" s="33" t="s">
        <v>1033</v>
      </c>
      <c r="M178" s="33">
        <v>6</v>
      </c>
      <c r="N178" s="33" t="s">
        <v>1037</v>
      </c>
      <c r="O178" s="33">
        <v>0</v>
      </c>
      <c r="P178" s="33"/>
    </row>
    <row r="179" spans="1:16">
      <c r="A179" s="31" t="s">
        <v>354</v>
      </c>
      <c r="B179" s="31" t="s">
        <v>355</v>
      </c>
      <c r="C179" s="31" t="s">
        <v>1026</v>
      </c>
      <c r="D179" s="31" t="s">
        <v>596</v>
      </c>
      <c r="E179" s="31" t="s">
        <v>597</v>
      </c>
      <c r="F179" s="31" t="s">
        <v>693</v>
      </c>
      <c r="G179" s="31" t="s">
        <v>693</v>
      </c>
      <c r="H179" s="33" t="s">
        <v>638</v>
      </c>
      <c r="I179" s="33" t="s">
        <v>638</v>
      </c>
      <c r="J179" s="33">
        <v>0</v>
      </c>
      <c r="K179" s="33">
        <v>0</v>
      </c>
      <c r="L179" s="33">
        <v>0</v>
      </c>
      <c r="M179" s="33">
        <v>0</v>
      </c>
      <c r="N179" s="33">
        <v>0</v>
      </c>
      <c r="O179" s="33">
        <v>0</v>
      </c>
      <c r="P179" s="33"/>
    </row>
    <row r="180" spans="1:16">
      <c r="A180" s="31" t="s">
        <v>356</v>
      </c>
      <c r="B180" s="31" t="s">
        <v>357</v>
      </c>
      <c r="C180" s="31" t="s">
        <v>1026</v>
      </c>
      <c r="D180" s="31" t="s">
        <v>596</v>
      </c>
      <c r="E180" s="31" t="s">
        <v>597</v>
      </c>
      <c r="F180" s="31" t="s">
        <v>693</v>
      </c>
      <c r="G180" s="31" t="s">
        <v>693</v>
      </c>
      <c r="H180" s="33" t="s">
        <v>638</v>
      </c>
      <c r="I180" s="33" t="s">
        <v>638</v>
      </c>
      <c r="J180" s="33">
        <v>0</v>
      </c>
      <c r="K180" s="33" t="s">
        <v>1042</v>
      </c>
      <c r="L180" s="33" t="s">
        <v>1078</v>
      </c>
      <c r="M180" s="33">
        <v>1</v>
      </c>
      <c r="N180" s="33" t="s">
        <v>1043</v>
      </c>
      <c r="O180" s="33">
        <v>0</v>
      </c>
      <c r="P180" s="33"/>
    </row>
    <row r="181" spans="1:16" ht="15.75">
      <c r="A181" s="31" t="s">
        <v>358</v>
      </c>
      <c r="B181" s="31" t="s">
        <v>359</v>
      </c>
      <c r="C181" s="31" t="s">
        <v>1026</v>
      </c>
      <c r="D181" s="31" t="s">
        <v>599</v>
      </c>
      <c r="E181" s="31" t="s">
        <v>611</v>
      </c>
      <c r="F181" s="32" t="s">
        <v>612</v>
      </c>
      <c r="G181" s="32" t="s">
        <v>612</v>
      </c>
      <c r="H181" s="33" t="s">
        <v>638</v>
      </c>
      <c r="I181" s="33" t="s">
        <v>638</v>
      </c>
      <c r="J181" s="33">
        <v>0</v>
      </c>
      <c r="K181" s="33" t="s">
        <v>1056</v>
      </c>
      <c r="L181" s="33" t="s">
        <v>1057</v>
      </c>
      <c r="M181" s="33">
        <v>1</v>
      </c>
      <c r="N181" s="33">
        <v>0</v>
      </c>
      <c r="O181" s="33">
        <v>0</v>
      </c>
      <c r="P181" s="33">
        <f>VLOOKUP(F181,Royalty!$A$3:$B$49,2,0)</f>
        <v>2</v>
      </c>
    </row>
    <row r="182" spans="1:16">
      <c r="A182" s="31" t="s">
        <v>360</v>
      </c>
      <c r="B182" s="31" t="s">
        <v>361</v>
      </c>
      <c r="C182" s="31" t="s">
        <v>683</v>
      </c>
      <c r="D182" s="31" t="s">
        <v>638</v>
      </c>
      <c r="E182" s="31" t="s">
        <v>638</v>
      </c>
      <c r="F182" s="31" t="s">
        <v>638</v>
      </c>
      <c r="G182" s="31" t="s">
        <v>638</v>
      </c>
      <c r="H182" s="33" t="s">
        <v>638</v>
      </c>
      <c r="I182" s="33" t="s">
        <v>638</v>
      </c>
      <c r="J182" s="33">
        <v>0</v>
      </c>
      <c r="K182" s="33" t="s">
        <v>1042</v>
      </c>
      <c r="L182" s="33" t="s">
        <v>1031</v>
      </c>
      <c r="M182" s="33">
        <v>10</v>
      </c>
      <c r="N182" s="33" t="s">
        <v>1043</v>
      </c>
      <c r="O182" s="33">
        <v>172001</v>
      </c>
      <c r="P182" s="33"/>
    </row>
    <row r="183" spans="1:16">
      <c r="A183" s="31" t="s">
        <v>362</v>
      </c>
      <c r="B183" s="31" t="s">
        <v>363</v>
      </c>
      <c r="C183" s="31" t="s">
        <v>1026</v>
      </c>
      <c r="D183" s="31" t="s">
        <v>656</v>
      </c>
      <c r="E183" s="31" t="s">
        <v>657</v>
      </c>
      <c r="F183" s="31" t="s">
        <v>638</v>
      </c>
      <c r="G183" s="31" t="s">
        <v>638</v>
      </c>
      <c r="H183" s="33" t="s">
        <v>638</v>
      </c>
      <c r="I183" s="33" t="s">
        <v>638</v>
      </c>
      <c r="J183" s="33">
        <v>0</v>
      </c>
      <c r="K183" s="33" t="s">
        <v>1042</v>
      </c>
      <c r="L183" s="33" t="s">
        <v>1031</v>
      </c>
      <c r="M183" s="33">
        <v>10</v>
      </c>
      <c r="N183" s="33" t="s">
        <v>1043</v>
      </c>
      <c r="O183" s="33">
        <v>172007</v>
      </c>
      <c r="P183" s="33"/>
    </row>
    <row r="184" spans="1:16">
      <c r="A184" s="31" t="s">
        <v>364</v>
      </c>
      <c r="B184" s="31" t="s">
        <v>365</v>
      </c>
      <c r="C184" s="31" t="s">
        <v>653</v>
      </c>
      <c r="D184" s="31" t="s">
        <v>673</v>
      </c>
      <c r="E184" s="31" t="s">
        <v>674</v>
      </c>
      <c r="F184" s="31" t="s">
        <v>638</v>
      </c>
      <c r="G184" s="31" t="s">
        <v>638</v>
      </c>
      <c r="H184" s="33" t="s">
        <v>638</v>
      </c>
      <c r="I184" s="33" t="s">
        <v>638</v>
      </c>
      <c r="J184" s="33">
        <v>0</v>
      </c>
      <c r="K184" s="33" t="s">
        <v>1030</v>
      </c>
      <c r="L184" s="33" t="s">
        <v>1079</v>
      </c>
      <c r="M184" s="33">
        <v>1</v>
      </c>
      <c r="N184" s="33" t="s">
        <v>1029</v>
      </c>
      <c r="O184" s="33">
        <v>0</v>
      </c>
      <c r="P184" s="33"/>
    </row>
    <row r="185" spans="1:16">
      <c r="A185" s="31" t="s">
        <v>366</v>
      </c>
      <c r="B185" s="31" t="s">
        <v>367</v>
      </c>
      <c r="C185" s="31" t="s">
        <v>1026</v>
      </c>
      <c r="D185" s="31" t="s">
        <v>701</v>
      </c>
      <c r="E185" s="31" t="s">
        <v>702</v>
      </c>
      <c r="F185" s="31" t="s">
        <v>638</v>
      </c>
      <c r="G185" s="31" t="s">
        <v>638</v>
      </c>
      <c r="H185" s="33" t="s">
        <v>638</v>
      </c>
      <c r="I185" s="33" t="s">
        <v>638</v>
      </c>
      <c r="J185" s="33">
        <v>0</v>
      </c>
      <c r="K185" s="33" t="s">
        <v>1042</v>
      </c>
      <c r="L185" s="33" t="s">
        <v>1076</v>
      </c>
      <c r="M185" s="33">
        <v>1</v>
      </c>
      <c r="N185" s="33" t="s">
        <v>1043</v>
      </c>
      <c r="O185" s="33">
        <v>0</v>
      </c>
      <c r="P185" s="33"/>
    </row>
    <row r="186" spans="1:16">
      <c r="A186" s="31" t="s">
        <v>368</v>
      </c>
      <c r="B186" s="31" t="s">
        <v>369</v>
      </c>
      <c r="C186" s="31" t="s">
        <v>653</v>
      </c>
      <c r="D186" s="31" t="s">
        <v>663</v>
      </c>
      <c r="E186" s="31" t="s">
        <v>638</v>
      </c>
      <c r="F186" s="31" t="s">
        <v>638</v>
      </c>
      <c r="G186" s="31" t="s">
        <v>638</v>
      </c>
      <c r="H186" s="33" t="s">
        <v>638</v>
      </c>
      <c r="I186" s="33" t="s">
        <v>638</v>
      </c>
      <c r="J186" s="33">
        <v>0</v>
      </c>
      <c r="K186" s="33">
        <v>0</v>
      </c>
      <c r="L186" s="33">
        <v>0</v>
      </c>
      <c r="M186" s="33">
        <v>1</v>
      </c>
      <c r="N186" s="33" t="s">
        <v>1029</v>
      </c>
      <c r="O186" s="33">
        <v>0</v>
      </c>
      <c r="P186" s="33"/>
    </row>
    <row r="187" spans="1:16">
      <c r="A187" s="31" t="s">
        <v>370</v>
      </c>
      <c r="B187" s="31" t="s">
        <v>371</v>
      </c>
      <c r="C187" s="31" t="s">
        <v>653</v>
      </c>
      <c r="D187" s="31" t="s">
        <v>671</v>
      </c>
      <c r="E187" s="31" t="s">
        <v>638</v>
      </c>
      <c r="F187" s="31" t="s">
        <v>638</v>
      </c>
      <c r="G187" s="31" t="s">
        <v>638</v>
      </c>
      <c r="H187" s="33" t="s">
        <v>638</v>
      </c>
      <c r="I187" s="33" t="s">
        <v>638</v>
      </c>
      <c r="J187" s="33">
        <v>0</v>
      </c>
      <c r="K187" s="33" t="s">
        <v>1072</v>
      </c>
      <c r="L187" s="33">
        <v>0</v>
      </c>
      <c r="M187" s="33">
        <v>30</v>
      </c>
      <c r="N187" s="33" t="s">
        <v>1029</v>
      </c>
      <c r="O187" s="33">
        <v>172022</v>
      </c>
      <c r="P187" s="33"/>
    </row>
    <row r="188" spans="1:16">
      <c r="A188" s="31" t="s">
        <v>372</v>
      </c>
      <c r="B188" s="31" t="s">
        <v>373</v>
      </c>
      <c r="C188" s="31" t="s">
        <v>1026</v>
      </c>
      <c r="D188" s="31" t="s">
        <v>1053</v>
      </c>
      <c r="E188" s="31" t="s">
        <v>596</v>
      </c>
      <c r="F188" s="31" t="s">
        <v>652</v>
      </c>
      <c r="G188" s="31" t="s">
        <v>652</v>
      </c>
      <c r="H188" s="33" t="s">
        <v>638</v>
      </c>
      <c r="I188" s="33" t="s">
        <v>638</v>
      </c>
      <c r="J188" s="33">
        <v>0</v>
      </c>
      <c r="K188" s="33" t="s">
        <v>1044</v>
      </c>
      <c r="L188" s="33" t="s">
        <v>1079</v>
      </c>
      <c r="M188" s="33">
        <v>20</v>
      </c>
      <c r="N188" s="33" t="s">
        <v>1029</v>
      </c>
      <c r="O188" s="33">
        <v>0</v>
      </c>
      <c r="P188" s="33"/>
    </row>
    <row r="189" spans="1:16">
      <c r="A189" s="31" t="s">
        <v>374</v>
      </c>
      <c r="B189" s="31" t="s">
        <v>375</v>
      </c>
      <c r="C189" s="31" t="s">
        <v>653</v>
      </c>
      <c r="D189" s="31" t="s">
        <v>659</v>
      </c>
      <c r="E189" s="31" t="s">
        <v>638</v>
      </c>
      <c r="F189" s="31" t="s">
        <v>638</v>
      </c>
      <c r="G189" s="31" t="s">
        <v>638</v>
      </c>
      <c r="H189" s="33" t="s">
        <v>638</v>
      </c>
      <c r="I189" s="33" t="s">
        <v>638</v>
      </c>
      <c r="J189" s="33">
        <v>0</v>
      </c>
      <c r="K189" s="33" t="s">
        <v>1044</v>
      </c>
      <c r="L189" s="33" t="s">
        <v>1051</v>
      </c>
      <c r="M189" s="33">
        <v>25</v>
      </c>
      <c r="N189" s="33" t="s">
        <v>1029</v>
      </c>
      <c r="O189" s="33">
        <v>172028</v>
      </c>
      <c r="P189" s="33"/>
    </row>
    <row r="190" spans="1:16">
      <c r="A190" s="31" t="s">
        <v>376</v>
      </c>
      <c r="B190" s="31" t="s">
        <v>377</v>
      </c>
      <c r="C190" s="31" t="s">
        <v>653</v>
      </c>
      <c r="D190" s="31" t="s">
        <v>663</v>
      </c>
      <c r="E190" s="31" t="s">
        <v>638</v>
      </c>
      <c r="F190" s="31" t="s">
        <v>638</v>
      </c>
      <c r="G190" s="31" t="s">
        <v>638</v>
      </c>
      <c r="H190" s="33" t="s">
        <v>638</v>
      </c>
      <c r="I190" s="33" t="s">
        <v>638</v>
      </c>
      <c r="J190" s="33">
        <v>0</v>
      </c>
      <c r="K190" s="33" t="s">
        <v>1032</v>
      </c>
      <c r="L190" s="33" t="s">
        <v>1033</v>
      </c>
      <c r="M190" s="33">
        <v>6</v>
      </c>
      <c r="N190" s="33" t="s">
        <v>1037</v>
      </c>
      <c r="O190" s="33">
        <v>0</v>
      </c>
      <c r="P190" s="33"/>
    </row>
    <row r="191" spans="1:16">
      <c r="A191" s="31" t="s">
        <v>378</v>
      </c>
      <c r="B191" s="31" t="s">
        <v>379</v>
      </c>
      <c r="C191" s="31" t="s">
        <v>653</v>
      </c>
      <c r="D191" s="31" t="s">
        <v>671</v>
      </c>
      <c r="E191" s="31" t="s">
        <v>638</v>
      </c>
      <c r="F191" s="31" t="s">
        <v>638</v>
      </c>
      <c r="G191" s="31" t="s">
        <v>638</v>
      </c>
      <c r="H191" s="33" t="s">
        <v>638</v>
      </c>
      <c r="I191" s="33" t="s">
        <v>638</v>
      </c>
      <c r="J191" s="33">
        <v>0</v>
      </c>
      <c r="K191" s="33">
        <v>0</v>
      </c>
      <c r="L191" s="33">
        <v>0</v>
      </c>
      <c r="M191" s="33">
        <v>1</v>
      </c>
      <c r="N191" s="33" t="s">
        <v>1029</v>
      </c>
      <c r="O191" s="33">
        <v>0</v>
      </c>
      <c r="P191" s="33"/>
    </row>
    <row r="192" spans="1:16">
      <c r="A192" s="31" t="s">
        <v>380</v>
      </c>
      <c r="B192" s="31" t="s">
        <v>703</v>
      </c>
      <c r="C192" s="31" t="s">
        <v>1026</v>
      </c>
      <c r="D192" s="31" t="s">
        <v>596</v>
      </c>
      <c r="E192" s="31" t="s">
        <v>605</v>
      </c>
      <c r="F192" s="31" t="s">
        <v>606</v>
      </c>
      <c r="G192" s="31" t="s">
        <v>606</v>
      </c>
      <c r="H192" s="33" t="s">
        <v>638</v>
      </c>
      <c r="I192" s="33" t="s">
        <v>638</v>
      </c>
      <c r="J192" s="33">
        <v>0</v>
      </c>
      <c r="K192" s="33" t="s">
        <v>1032</v>
      </c>
      <c r="L192" s="33" t="s">
        <v>1055</v>
      </c>
      <c r="M192" s="33">
        <v>4</v>
      </c>
      <c r="N192" s="33" t="s">
        <v>1043</v>
      </c>
      <c r="O192" s="33">
        <v>0</v>
      </c>
      <c r="P192" s="33">
        <f>VLOOKUP(F192,Royalty!$A$3:$B$49,2,0)</f>
        <v>3</v>
      </c>
    </row>
    <row r="193" spans="1:16">
      <c r="A193" s="31" t="s">
        <v>382</v>
      </c>
      <c r="B193" s="31" t="s">
        <v>704</v>
      </c>
      <c r="C193" s="31" t="s">
        <v>1026</v>
      </c>
      <c r="D193" s="31" t="s">
        <v>596</v>
      </c>
      <c r="E193" s="31" t="s">
        <v>608</v>
      </c>
      <c r="F193" s="31" t="s">
        <v>610</v>
      </c>
      <c r="G193" s="31" t="s">
        <v>610</v>
      </c>
      <c r="H193" s="33" t="s">
        <v>638</v>
      </c>
      <c r="I193" s="33" t="s">
        <v>638</v>
      </c>
      <c r="J193" s="33">
        <v>0</v>
      </c>
      <c r="K193" s="33" t="s">
        <v>1061</v>
      </c>
      <c r="L193" s="33" t="s">
        <v>1039</v>
      </c>
      <c r="M193" s="33">
        <v>1</v>
      </c>
      <c r="N193" s="33" t="s">
        <v>1029</v>
      </c>
      <c r="O193" s="33">
        <v>0</v>
      </c>
      <c r="P193" s="33">
        <f>VLOOKUP(F193,Royalty!$A$3:$B$49,2,0)</f>
        <v>3</v>
      </c>
    </row>
    <row r="194" spans="1:16">
      <c r="A194" s="31" t="s">
        <v>384</v>
      </c>
      <c r="B194" s="31" t="s">
        <v>385</v>
      </c>
      <c r="C194" s="31" t="s">
        <v>705</v>
      </c>
      <c r="D194" s="31" t="s">
        <v>638</v>
      </c>
      <c r="E194" s="31" t="s">
        <v>638</v>
      </c>
      <c r="F194" s="31" t="s">
        <v>638</v>
      </c>
      <c r="G194" s="31" t="s">
        <v>638</v>
      </c>
      <c r="H194" s="33" t="s">
        <v>638</v>
      </c>
      <c r="I194" s="33" t="s">
        <v>638</v>
      </c>
      <c r="J194" s="33">
        <v>0</v>
      </c>
      <c r="K194" s="33" t="s">
        <v>1061</v>
      </c>
      <c r="L194" s="33" t="s">
        <v>1039</v>
      </c>
      <c r="M194" s="33">
        <v>1</v>
      </c>
      <c r="N194" s="33" t="s">
        <v>1029</v>
      </c>
      <c r="O194" s="33">
        <v>0</v>
      </c>
      <c r="P194" s="33"/>
    </row>
    <row r="195" spans="1:16">
      <c r="A195" s="31" t="s">
        <v>386</v>
      </c>
      <c r="B195" s="31" t="s">
        <v>706</v>
      </c>
      <c r="C195" s="31" t="s">
        <v>1026</v>
      </c>
      <c r="D195" s="31" t="s">
        <v>699</v>
      </c>
      <c r="E195" s="31" t="s">
        <v>700</v>
      </c>
      <c r="F195" s="31" t="s">
        <v>638</v>
      </c>
      <c r="G195" s="31" t="s">
        <v>638</v>
      </c>
      <c r="H195" s="33" t="s">
        <v>638</v>
      </c>
      <c r="I195" s="33" t="s">
        <v>638</v>
      </c>
      <c r="J195" s="33">
        <v>0</v>
      </c>
      <c r="K195" s="33" t="s">
        <v>1061</v>
      </c>
      <c r="L195" s="33" t="s">
        <v>1039</v>
      </c>
      <c r="M195" s="33">
        <v>1</v>
      </c>
      <c r="N195" s="33" t="s">
        <v>1029</v>
      </c>
      <c r="O195" s="33">
        <v>0</v>
      </c>
      <c r="P195" s="33"/>
    </row>
    <row r="196" spans="1:16">
      <c r="A196" s="31" t="s">
        <v>388</v>
      </c>
      <c r="B196" s="31" t="s">
        <v>389</v>
      </c>
      <c r="C196" s="31" t="s">
        <v>1026</v>
      </c>
      <c r="D196" s="31" t="s">
        <v>656</v>
      </c>
      <c r="E196" s="31" t="s">
        <v>657</v>
      </c>
      <c r="F196" s="31" t="s">
        <v>638</v>
      </c>
      <c r="G196" s="31" t="s">
        <v>638</v>
      </c>
      <c r="H196" s="33" t="s">
        <v>638</v>
      </c>
      <c r="I196" s="33" t="s">
        <v>638</v>
      </c>
      <c r="J196" s="33">
        <v>0</v>
      </c>
      <c r="K196" s="33" t="s">
        <v>1032</v>
      </c>
      <c r="L196" s="33" t="s">
        <v>1080</v>
      </c>
      <c r="M196" s="33">
        <v>1</v>
      </c>
      <c r="N196" s="33">
        <v>0</v>
      </c>
      <c r="O196" s="33">
        <v>0</v>
      </c>
      <c r="P196" s="33"/>
    </row>
    <row r="197" spans="1:16">
      <c r="A197" s="31" t="s">
        <v>390</v>
      </c>
      <c r="B197" s="31" t="s">
        <v>707</v>
      </c>
      <c r="C197" s="31" t="s">
        <v>1026</v>
      </c>
      <c r="D197" s="31" t="s">
        <v>599</v>
      </c>
      <c r="E197" s="31" t="s">
        <v>613</v>
      </c>
      <c r="F197" s="31" t="s">
        <v>623</v>
      </c>
      <c r="G197" s="31" t="s">
        <v>623</v>
      </c>
      <c r="H197" s="33" t="s">
        <v>638</v>
      </c>
      <c r="I197" s="33" t="s">
        <v>638</v>
      </c>
      <c r="J197" s="33">
        <v>172012</v>
      </c>
      <c r="K197" s="33" t="s">
        <v>1027</v>
      </c>
      <c r="L197" s="33" t="s">
        <v>1028</v>
      </c>
      <c r="M197" s="33">
        <v>1</v>
      </c>
      <c r="N197" s="33">
        <v>0</v>
      </c>
      <c r="O197" s="33">
        <v>0</v>
      </c>
      <c r="P197" s="33">
        <f>VLOOKUP(F197,Royalty!$A$3:$B$49,2,0)</f>
        <v>2</v>
      </c>
    </row>
    <row r="198" spans="1:16">
      <c r="A198" s="31" t="s">
        <v>392</v>
      </c>
      <c r="B198" s="31" t="s">
        <v>393</v>
      </c>
      <c r="C198" s="31" t="s">
        <v>1026</v>
      </c>
      <c r="D198" s="31" t="s">
        <v>599</v>
      </c>
      <c r="E198" s="31" t="s">
        <v>613</v>
      </c>
      <c r="F198" s="31" t="s">
        <v>623</v>
      </c>
      <c r="G198" s="31" t="s">
        <v>623</v>
      </c>
      <c r="H198" s="33" t="s">
        <v>638</v>
      </c>
      <c r="I198" s="33" t="s">
        <v>638</v>
      </c>
      <c r="J198" s="33">
        <v>172011</v>
      </c>
      <c r="K198" s="33" t="s">
        <v>1042</v>
      </c>
      <c r="L198" s="33" t="s">
        <v>1055</v>
      </c>
      <c r="M198" s="33">
        <v>20</v>
      </c>
      <c r="N198" s="33" t="s">
        <v>1043</v>
      </c>
      <c r="O198" s="33">
        <v>0</v>
      </c>
      <c r="P198" s="33">
        <f>VLOOKUP(F198,Royalty!$A$3:$B$49,2,0)</f>
        <v>2</v>
      </c>
    </row>
    <row r="199" spans="1:16">
      <c r="A199" s="31" t="s">
        <v>394</v>
      </c>
      <c r="B199" s="31" t="s">
        <v>395</v>
      </c>
      <c r="C199" s="31" t="s">
        <v>653</v>
      </c>
      <c r="D199" s="31" t="s">
        <v>663</v>
      </c>
      <c r="E199" s="31" t="s">
        <v>1081</v>
      </c>
      <c r="F199" s="33" t="s">
        <v>1082</v>
      </c>
      <c r="G199" s="31" t="s">
        <v>638</v>
      </c>
      <c r="H199" s="33" t="s">
        <v>638</v>
      </c>
      <c r="I199" s="33" t="s">
        <v>638</v>
      </c>
      <c r="J199" s="33">
        <v>0</v>
      </c>
      <c r="K199" s="33" t="s">
        <v>1061</v>
      </c>
      <c r="L199" s="33" t="s">
        <v>1039</v>
      </c>
      <c r="M199" s="33">
        <v>10000</v>
      </c>
      <c r="N199" s="33" t="s">
        <v>1029</v>
      </c>
      <c r="O199" s="33">
        <v>0</v>
      </c>
      <c r="P199" s="33"/>
    </row>
    <row r="200" spans="1:16">
      <c r="A200" s="31" t="s">
        <v>396</v>
      </c>
      <c r="B200" s="31" t="s">
        <v>397</v>
      </c>
      <c r="C200" s="31" t="s">
        <v>714</v>
      </c>
      <c r="D200" s="31" t="s">
        <v>691</v>
      </c>
      <c r="E200" s="31" t="s">
        <v>708</v>
      </c>
      <c r="F200" s="31" t="s">
        <v>638</v>
      </c>
      <c r="G200" s="31" t="s">
        <v>638</v>
      </c>
      <c r="H200" s="33" t="s">
        <v>638</v>
      </c>
      <c r="I200" s="33" t="s">
        <v>638</v>
      </c>
      <c r="J200" s="33">
        <v>0</v>
      </c>
      <c r="K200" s="33">
        <v>0</v>
      </c>
      <c r="L200" s="33">
        <v>0</v>
      </c>
      <c r="M200" s="33">
        <v>0</v>
      </c>
      <c r="N200" s="33">
        <v>0</v>
      </c>
      <c r="O200" s="33">
        <v>0</v>
      </c>
      <c r="P200" s="33"/>
    </row>
    <row r="201" spans="1:16">
      <c r="A201" s="31" t="s">
        <v>398</v>
      </c>
      <c r="B201" s="31" t="s">
        <v>399</v>
      </c>
      <c r="C201" s="31" t="s">
        <v>1026</v>
      </c>
      <c r="D201" s="31" t="s">
        <v>656</v>
      </c>
      <c r="E201" s="31" t="s">
        <v>657</v>
      </c>
      <c r="F201" s="31" t="s">
        <v>638</v>
      </c>
      <c r="G201" s="31" t="s">
        <v>638</v>
      </c>
      <c r="H201" s="33" t="s">
        <v>638</v>
      </c>
      <c r="I201" s="33" t="s">
        <v>638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0</v>
      </c>
      <c r="P201" s="33"/>
    </row>
    <row r="202" spans="1:16">
      <c r="A202" s="31" t="s">
        <v>400</v>
      </c>
      <c r="B202" s="31" t="s">
        <v>401</v>
      </c>
      <c r="C202" s="31" t="s">
        <v>1026</v>
      </c>
      <c r="D202" s="31" t="s">
        <v>599</v>
      </c>
      <c r="E202" s="31" t="s">
        <v>600</v>
      </c>
      <c r="F202" s="31" t="s">
        <v>630</v>
      </c>
      <c r="G202" s="31" t="s">
        <v>630</v>
      </c>
      <c r="H202" s="33" t="s">
        <v>638</v>
      </c>
      <c r="I202" s="33" t="s">
        <v>638</v>
      </c>
      <c r="J202" s="33">
        <v>172022</v>
      </c>
      <c r="K202" s="33" t="s">
        <v>1027</v>
      </c>
      <c r="L202" s="33" t="s">
        <v>1055</v>
      </c>
      <c r="M202" s="33">
        <v>1</v>
      </c>
      <c r="N202" s="33" t="s">
        <v>1043</v>
      </c>
      <c r="O202" s="33">
        <v>0</v>
      </c>
      <c r="P202" s="33">
        <f>VLOOKUP(F202,Royalty!$A$3:$B$49,2,0)</f>
        <v>2</v>
      </c>
    </row>
    <row r="203" spans="1:16">
      <c r="A203" s="31" t="s">
        <v>402</v>
      </c>
      <c r="B203" s="31" t="s">
        <v>403</v>
      </c>
      <c r="C203" s="31" t="s">
        <v>653</v>
      </c>
      <c r="D203" s="31" t="s">
        <v>663</v>
      </c>
      <c r="E203" s="31" t="s">
        <v>1081</v>
      </c>
      <c r="F203" s="33" t="s">
        <v>1082</v>
      </c>
      <c r="G203" s="31" t="s">
        <v>638</v>
      </c>
      <c r="H203" s="33" t="s">
        <v>638</v>
      </c>
      <c r="I203" s="33" t="s">
        <v>638</v>
      </c>
      <c r="J203" s="33">
        <v>0</v>
      </c>
      <c r="K203" s="33" t="s">
        <v>1042</v>
      </c>
      <c r="L203" s="33" t="s">
        <v>1031</v>
      </c>
      <c r="M203" s="33">
        <v>1</v>
      </c>
      <c r="N203" s="33" t="s">
        <v>1043</v>
      </c>
      <c r="O203" s="33">
        <v>172041</v>
      </c>
      <c r="P203" s="33"/>
    </row>
    <row r="204" spans="1:16">
      <c r="A204" s="31" t="s">
        <v>404</v>
      </c>
      <c r="B204" s="31" t="s">
        <v>405</v>
      </c>
      <c r="C204" s="31" t="s">
        <v>1026</v>
      </c>
      <c r="D204" s="31" t="s">
        <v>599</v>
      </c>
      <c r="E204" s="31" t="s">
        <v>648</v>
      </c>
      <c r="F204" s="31" t="s">
        <v>649</v>
      </c>
      <c r="G204" s="31" t="s">
        <v>649</v>
      </c>
      <c r="H204" s="33" t="s">
        <v>638</v>
      </c>
      <c r="I204" s="33" t="s">
        <v>638</v>
      </c>
      <c r="J204" s="33">
        <v>172028</v>
      </c>
      <c r="K204" s="33" t="s">
        <v>1042</v>
      </c>
      <c r="L204" s="33" t="s">
        <v>1031</v>
      </c>
      <c r="M204" s="33">
        <v>10</v>
      </c>
      <c r="N204" s="33" t="s">
        <v>1043</v>
      </c>
      <c r="O204" s="33">
        <v>172041</v>
      </c>
      <c r="P204" s="33">
        <v>0</v>
      </c>
    </row>
    <row r="205" spans="1:16">
      <c r="A205" s="31" t="s">
        <v>406</v>
      </c>
      <c r="B205" s="31" t="s">
        <v>407</v>
      </c>
      <c r="C205" s="31" t="s">
        <v>1026</v>
      </c>
      <c r="D205" s="31" t="s">
        <v>596</v>
      </c>
      <c r="E205" s="31" t="s">
        <v>605</v>
      </c>
      <c r="F205" s="31" t="s">
        <v>607</v>
      </c>
      <c r="G205" s="31" t="s">
        <v>1083</v>
      </c>
      <c r="H205" s="33" t="s">
        <v>638</v>
      </c>
      <c r="I205" s="33" t="s">
        <v>638</v>
      </c>
      <c r="J205" s="33">
        <v>171031</v>
      </c>
      <c r="K205" s="33" t="s">
        <v>1030</v>
      </c>
      <c r="L205" s="33">
        <v>0</v>
      </c>
      <c r="M205" s="33">
        <v>1</v>
      </c>
      <c r="N205" s="33" t="s">
        <v>1029</v>
      </c>
      <c r="O205" s="33">
        <v>0</v>
      </c>
      <c r="P205" s="33">
        <f>VLOOKUP(F205,Royalty!$A$3:$B$49,2,0)</f>
        <v>2</v>
      </c>
    </row>
    <row r="206" spans="1:16">
      <c r="A206" s="31" t="s">
        <v>408</v>
      </c>
      <c r="B206" s="31" t="s">
        <v>409</v>
      </c>
      <c r="C206" s="31" t="s">
        <v>1084</v>
      </c>
      <c r="D206" s="31" t="s">
        <v>709</v>
      </c>
      <c r="E206" s="31" t="s">
        <v>638</v>
      </c>
      <c r="F206" s="31" t="s">
        <v>638</v>
      </c>
      <c r="G206" s="31" t="s">
        <v>638</v>
      </c>
      <c r="H206" s="33" t="s">
        <v>638</v>
      </c>
      <c r="I206" s="33" t="s">
        <v>638</v>
      </c>
      <c r="J206" s="33">
        <v>0</v>
      </c>
      <c r="K206" s="33" t="s">
        <v>1030</v>
      </c>
      <c r="L206" s="33">
        <v>0</v>
      </c>
      <c r="M206" s="33">
        <v>1</v>
      </c>
      <c r="N206" s="33" t="s">
        <v>1029</v>
      </c>
      <c r="O206" s="33">
        <v>0</v>
      </c>
      <c r="P206" s="33"/>
    </row>
    <row r="207" spans="1:16">
      <c r="A207" s="31" t="s">
        <v>410</v>
      </c>
      <c r="B207" s="31" t="s">
        <v>411</v>
      </c>
      <c r="C207" s="31" t="s">
        <v>653</v>
      </c>
      <c r="D207" s="31" t="s">
        <v>659</v>
      </c>
      <c r="E207" s="31" t="s">
        <v>638</v>
      </c>
      <c r="F207" s="31" t="s">
        <v>658</v>
      </c>
      <c r="G207" s="31" t="s">
        <v>658</v>
      </c>
      <c r="H207" s="33" t="s">
        <v>638</v>
      </c>
      <c r="I207" s="33" t="s">
        <v>638</v>
      </c>
      <c r="J207" s="33">
        <v>0</v>
      </c>
      <c r="K207" s="33" t="s">
        <v>1085</v>
      </c>
      <c r="L207" s="33">
        <v>0</v>
      </c>
      <c r="M207" s="33">
        <v>1</v>
      </c>
      <c r="N207" s="33" t="s">
        <v>1029</v>
      </c>
      <c r="O207" s="33">
        <v>0</v>
      </c>
      <c r="P207" s="33"/>
    </row>
    <row r="208" spans="1:16">
      <c r="A208" s="31" t="s">
        <v>412</v>
      </c>
      <c r="B208" s="31" t="s">
        <v>413</v>
      </c>
      <c r="C208" s="31" t="s">
        <v>1026</v>
      </c>
      <c r="D208" s="31" t="s">
        <v>656</v>
      </c>
      <c r="E208" s="31" t="s">
        <v>668</v>
      </c>
      <c r="F208" s="31" t="s">
        <v>638</v>
      </c>
      <c r="G208" s="31" t="s">
        <v>638</v>
      </c>
      <c r="H208" s="33" t="s">
        <v>638</v>
      </c>
      <c r="I208" s="33" t="s">
        <v>638</v>
      </c>
      <c r="J208" s="33">
        <v>0</v>
      </c>
      <c r="K208" s="33" t="s">
        <v>1085</v>
      </c>
      <c r="L208" s="33">
        <v>0</v>
      </c>
      <c r="M208" s="33">
        <v>1</v>
      </c>
      <c r="N208" s="33" t="s">
        <v>1029</v>
      </c>
      <c r="O208" s="33">
        <v>0</v>
      </c>
      <c r="P208" s="33"/>
    </row>
    <row r="209" spans="1:16">
      <c r="A209" s="31" t="s">
        <v>414</v>
      </c>
      <c r="B209" s="31" t="s">
        <v>415</v>
      </c>
      <c r="C209" s="31" t="s">
        <v>1026</v>
      </c>
      <c r="D209" s="31" t="s">
        <v>656</v>
      </c>
      <c r="E209" s="31" t="s">
        <v>668</v>
      </c>
      <c r="F209" s="31" t="s">
        <v>638</v>
      </c>
      <c r="G209" s="31" t="s">
        <v>638</v>
      </c>
      <c r="H209" s="33" t="s">
        <v>638</v>
      </c>
      <c r="I209" s="33" t="s">
        <v>638</v>
      </c>
      <c r="J209" s="33">
        <v>0</v>
      </c>
      <c r="K209" s="33" t="s">
        <v>1085</v>
      </c>
      <c r="L209" s="33">
        <v>0</v>
      </c>
      <c r="M209" s="33">
        <v>1</v>
      </c>
      <c r="N209" s="33" t="s">
        <v>1029</v>
      </c>
      <c r="O209" s="33">
        <v>0</v>
      </c>
      <c r="P209" s="33"/>
    </row>
    <row r="210" spans="1:16">
      <c r="A210" s="31" t="s">
        <v>416</v>
      </c>
      <c r="B210" s="31" t="s">
        <v>413</v>
      </c>
      <c r="C210" s="31" t="s">
        <v>1026</v>
      </c>
      <c r="D210" s="31" t="s">
        <v>656</v>
      </c>
      <c r="E210" s="31" t="s">
        <v>668</v>
      </c>
      <c r="F210" s="31" t="s">
        <v>638</v>
      </c>
      <c r="G210" s="31" t="s">
        <v>638</v>
      </c>
      <c r="H210" s="33" t="s">
        <v>638</v>
      </c>
      <c r="I210" s="33" t="s">
        <v>638</v>
      </c>
      <c r="J210" s="33">
        <v>0</v>
      </c>
      <c r="K210" s="33">
        <v>0</v>
      </c>
      <c r="L210" s="33">
        <v>0</v>
      </c>
      <c r="M210" s="33">
        <v>1</v>
      </c>
      <c r="N210" s="33">
        <v>0</v>
      </c>
      <c r="O210" s="33">
        <v>0</v>
      </c>
      <c r="P210" s="33"/>
    </row>
    <row r="211" spans="1:16">
      <c r="A211" s="31" t="s">
        <v>417</v>
      </c>
      <c r="B211" s="31" t="s">
        <v>418</v>
      </c>
      <c r="C211" s="31" t="s">
        <v>653</v>
      </c>
      <c r="D211" s="31" t="s">
        <v>663</v>
      </c>
      <c r="E211" s="31" t="s">
        <v>1086</v>
      </c>
      <c r="F211" s="31" t="s">
        <v>638</v>
      </c>
      <c r="G211" s="31" t="s">
        <v>638</v>
      </c>
      <c r="H211" s="33" t="s">
        <v>638</v>
      </c>
      <c r="I211" s="33" t="s">
        <v>638</v>
      </c>
      <c r="J211" s="33">
        <v>0</v>
      </c>
      <c r="K211" s="33">
        <v>0</v>
      </c>
      <c r="L211" s="33">
        <v>0</v>
      </c>
      <c r="M211" s="33">
        <v>1</v>
      </c>
      <c r="N211" s="33">
        <v>0</v>
      </c>
      <c r="O211" s="33">
        <v>0</v>
      </c>
      <c r="P211" s="33"/>
    </row>
    <row r="212" spans="1:16">
      <c r="A212" s="31" t="s">
        <v>419</v>
      </c>
      <c r="B212" s="31" t="s">
        <v>420</v>
      </c>
      <c r="C212" s="31" t="s">
        <v>653</v>
      </c>
      <c r="D212" s="31" t="s">
        <v>663</v>
      </c>
      <c r="E212" s="31" t="s">
        <v>1086</v>
      </c>
      <c r="F212" s="31" t="s">
        <v>638</v>
      </c>
      <c r="G212" s="31" t="s">
        <v>638</v>
      </c>
      <c r="H212" s="33" t="s">
        <v>638</v>
      </c>
      <c r="I212" s="33" t="s">
        <v>638</v>
      </c>
      <c r="J212" s="33">
        <v>0</v>
      </c>
      <c r="K212" s="33">
        <v>0</v>
      </c>
      <c r="L212" s="33">
        <v>0</v>
      </c>
      <c r="M212" s="33">
        <v>1</v>
      </c>
      <c r="N212" s="33">
        <v>0</v>
      </c>
      <c r="O212" s="33">
        <v>0</v>
      </c>
      <c r="P212" s="33"/>
    </row>
    <row r="213" spans="1:16">
      <c r="A213" s="31" t="s">
        <v>421</v>
      </c>
      <c r="B213" s="31" t="s">
        <v>422</v>
      </c>
      <c r="C213" s="31" t="s">
        <v>653</v>
      </c>
      <c r="D213" s="31" t="s">
        <v>659</v>
      </c>
      <c r="E213" s="31" t="s">
        <v>638</v>
      </c>
      <c r="F213" s="31" t="s">
        <v>658</v>
      </c>
      <c r="G213" s="31" t="s">
        <v>658</v>
      </c>
      <c r="H213" s="33" t="s">
        <v>638</v>
      </c>
      <c r="I213" s="33" t="s">
        <v>638</v>
      </c>
      <c r="J213" s="33">
        <v>0</v>
      </c>
      <c r="K213" s="33" t="s">
        <v>1087</v>
      </c>
      <c r="L213" s="33" t="s">
        <v>1055</v>
      </c>
      <c r="M213" s="33">
        <v>64</v>
      </c>
      <c r="N213" s="33" t="s">
        <v>1043</v>
      </c>
      <c r="O213" s="33">
        <v>0</v>
      </c>
      <c r="P213" s="33"/>
    </row>
    <row r="214" spans="1:16">
      <c r="A214" s="31" t="s">
        <v>423</v>
      </c>
      <c r="B214" s="31" t="s">
        <v>424</v>
      </c>
      <c r="C214" s="31" t="s">
        <v>705</v>
      </c>
      <c r="D214" s="31" t="s">
        <v>638</v>
      </c>
      <c r="E214" s="31" t="s">
        <v>638</v>
      </c>
      <c r="F214" s="31" t="s">
        <v>638</v>
      </c>
      <c r="G214" s="31" t="s">
        <v>638</v>
      </c>
      <c r="H214" s="33" t="s">
        <v>638</v>
      </c>
      <c r="I214" s="33" t="s">
        <v>638</v>
      </c>
      <c r="J214" s="33">
        <v>0</v>
      </c>
      <c r="K214" s="33">
        <v>0</v>
      </c>
      <c r="L214" s="33">
        <v>0</v>
      </c>
      <c r="M214" s="33">
        <v>1</v>
      </c>
      <c r="N214" s="33">
        <v>0</v>
      </c>
      <c r="O214" s="33">
        <v>0</v>
      </c>
      <c r="P214" s="33"/>
    </row>
    <row r="215" spans="1:16">
      <c r="A215" s="31" t="s">
        <v>425</v>
      </c>
      <c r="B215" s="31" t="s">
        <v>426</v>
      </c>
      <c r="C215" s="31" t="s">
        <v>1026</v>
      </c>
      <c r="D215" s="31" t="s">
        <v>710</v>
      </c>
      <c r="E215" s="31" t="s">
        <v>638</v>
      </c>
      <c r="F215" s="31" t="s">
        <v>638</v>
      </c>
      <c r="G215" s="31" t="s">
        <v>638</v>
      </c>
      <c r="H215" s="33" t="s">
        <v>638</v>
      </c>
      <c r="I215" s="33" t="s">
        <v>638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/>
    </row>
    <row r="216" spans="1:16">
      <c r="A216" s="31" t="s">
        <v>427</v>
      </c>
      <c r="B216" s="31" t="s">
        <v>428</v>
      </c>
      <c r="C216" s="31" t="s">
        <v>1026</v>
      </c>
      <c r="D216" s="31" t="s">
        <v>710</v>
      </c>
      <c r="E216" s="31" t="s">
        <v>638</v>
      </c>
      <c r="F216" s="31" t="s">
        <v>638</v>
      </c>
      <c r="G216" s="31" t="s">
        <v>638</v>
      </c>
      <c r="H216" s="33" t="s">
        <v>638</v>
      </c>
      <c r="I216" s="33" t="s">
        <v>638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/>
    </row>
    <row r="217" spans="1:16">
      <c r="A217" s="31" t="s">
        <v>429</v>
      </c>
      <c r="B217" s="31" t="s">
        <v>430</v>
      </c>
      <c r="C217" s="31" t="s">
        <v>653</v>
      </c>
      <c r="D217" s="31" t="s">
        <v>659</v>
      </c>
      <c r="E217" s="31" t="s">
        <v>638</v>
      </c>
      <c r="F217" s="31" t="s">
        <v>658</v>
      </c>
      <c r="G217" s="31" t="s">
        <v>658</v>
      </c>
      <c r="H217" s="33" t="s">
        <v>638</v>
      </c>
      <c r="I217" s="33" t="s">
        <v>638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/>
    </row>
    <row r="218" spans="1:16">
      <c r="A218" s="31" t="s">
        <v>431</v>
      </c>
      <c r="B218" s="31" t="s">
        <v>432</v>
      </c>
      <c r="C218" s="31" t="s">
        <v>1026</v>
      </c>
      <c r="D218" s="31" t="s">
        <v>599</v>
      </c>
      <c r="E218" s="31" t="s">
        <v>616</v>
      </c>
      <c r="F218" s="31" t="s">
        <v>617</v>
      </c>
      <c r="G218" s="31" t="s">
        <v>1088</v>
      </c>
      <c r="H218" s="33" t="s">
        <v>638</v>
      </c>
      <c r="I218" s="33" t="s">
        <v>638</v>
      </c>
      <c r="J218" s="33">
        <v>172041</v>
      </c>
      <c r="K218" s="33">
        <v>0</v>
      </c>
      <c r="L218" s="33">
        <v>0</v>
      </c>
      <c r="M218" s="33">
        <v>0</v>
      </c>
      <c r="N218" s="33">
        <v>0</v>
      </c>
      <c r="O218" s="33">
        <v>0</v>
      </c>
      <c r="P218" s="33">
        <f>VLOOKUP(F218,Royalty!$A$3:$B$49,2,0)</f>
        <v>2</v>
      </c>
    </row>
    <row r="219" spans="1:16">
      <c r="A219" s="31" t="s">
        <v>433</v>
      </c>
      <c r="B219" s="31" t="s">
        <v>434</v>
      </c>
      <c r="C219" s="31" t="s">
        <v>1026</v>
      </c>
      <c r="D219" s="31" t="s">
        <v>599</v>
      </c>
      <c r="E219" s="31" t="s">
        <v>616</v>
      </c>
      <c r="F219" s="31" t="s">
        <v>617</v>
      </c>
      <c r="G219" s="31" t="s">
        <v>1088</v>
      </c>
      <c r="H219" s="33" t="s">
        <v>638</v>
      </c>
      <c r="I219" s="33" t="s">
        <v>638</v>
      </c>
      <c r="J219" s="33">
        <v>172041</v>
      </c>
      <c r="K219" s="33">
        <v>0</v>
      </c>
      <c r="L219" s="33">
        <v>0</v>
      </c>
      <c r="M219" s="33">
        <v>0</v>
      </c>
      <c r="N219" s="33">
        <v>0</v>
      </c>
      <c r="O219" s="33">
        <v>0</v>
      </c>
      <c r="P219" s="33">
        <f>VLOOKUP(F219,Royalty!$A$3:$B$49,2,0)</f>
        <v>2</v>
      </c>
    </row>
    <row r="220" spans="1:16">
      <c r="A220" s="31" t="s">
        <v>435</v>
      </c>
      <c r="B220" s="31" t="s">
        <v>436</v>
      </c>
      <c r="C220" s="31" t="s">
        <v>711</v>
      </c>
      <c r="D220" s="31" t="s">
        <v>712</v>
      </c>
      <c r="E220" s="31" t="s">
        <v>1089</v>
      </c>
      <c r="F220" s="31" t="s">
        <v>638</v>
      </c>
      <c r="G220" s="31" t="s">
        <v>638</v>
      </c>
      <c r="H220" s="33" t="s">
        <v>638</v>
      </c>
      <c r="I220" s="33" t="s">
        <v>638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3">
        <v>0</v>
      </c>
      <c r="P220" s="33"/>
    </row>
    <row r="221" spans="1:16">
      <c r="A221" s="31" t="s">
        <v>437</v>
      </c>
      <c r="B221" s="31" t="s">
        <v>438</v>
      </c>
      <c r="C221" s="31" t="s">
        <v>711</v>
      </c>
      <c r="D221" s="31" t="s">
        <v>712</v>
      </c>
      <c r="E221" s="31" t="s">
        <v>1089</v>
      </c>
      <c r="F221" s="31" t="s">
        <v>638</v>
      </c>
      <c r="G221" s="31" t="s">
        <v>638</v>
      </c>
      <c r="H221" s="33" t="s">
        <v>638</v>
      </c>
      <c r="I221" s="33" t="s">
        <v>638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/>
    </row>
    <row r="222" spans="1:16">
      <c r="A222" s="31" t="s">
        <v>439</v>
      </c>
      <c r="B222" s="31" t="s">
        <v>440</v>
      </c>
      <c r="C222" s="31" t="s">
        <v>711</v>
      </c>
      <c r="D222" s="31" t="s">
        <v>713</v>
      </c>
      <c r="E222" s="31" t="s">
        <v>638</v>
      </c>
      <c r="F222" s="31" t="s">
        <v>638</v>
      </c>
      <c r="G222" s="31" t="s">
        <v>638</v>
      </c>
      <c r="H222" s="33" t="s">
        <v>638</v>
      </c>
      <c r="I222" s="33" t="s">
        <v>638</v>
      </c>
      <c r="J222" s="33">
        <v>0</v>
      </c>
      <c r="K222" s="33">
        <v>0</v>
      </c>
      <c r="L222" s="33">
        <v>0</v>
      </c>
      <c r="M222" s="33">
        <v>0</v>
      </c>
      <c r="N222" s="33">
        <v>0</v>
      </c>
      <c r="O222" s="33">
        <v>0</v>
      </c>
      <c r="P222" s="33"/>
    </row>
    <row r="223" spans="1:16">
      <c r="A223" s="31" t="s">
        <v>441</v>
      </c>
      <c r="B223" s="31" t="s">
        <v>442</v>
      </c>
      <c r="C223" s="31" t="s">
        <v>711</v>
      </c>
      <c r="D223" s="31" t="s">
        <v>713</v>
      </c>
      <c r="E223" s="31" t="s">
        <v>638</v>
      </c>
      <c r="F223" s="31" t="s">
        <v>638</v>
      </c>
      <c r="G223" s="31" t="s">
        <v>638</v>
      </c>
      <c r="H223" s="33" t="s">
        <v>638</v>
      </c>
      <c r="I223" s="33" t="s">
        <v>638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/>
    </row>
    <row r="224" spans="1:16">
      <c r="A224" s="31" t="s">
        <v>443</v>
      </c>
      <c r="B224" s="31" t="s">
        <v>444</v>
      </c>
      <c r="C224" s="31" t="s">
        <v>711</v>
      </c>
      <c r="D224" s="31" t="s">
        <v>713</v>
      </c>
      <c r="E224" s="31" t="s">
        <v>638</v>
      </c>
      <c r="F224" s="31" t="s">
        <v>638</v>
      </c>
      <c r="G224" s="31" t="s">
        <v>638</v>
      </c>
      <c r="H224" s="33" t="s">
        <v>638</v>
      </c>
      <c r="I224" s="33" t="s">
        <v>638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/>
    </row>
    <row r="225" spans="1:16">
      <c r="A225" s="31" t="s">
        <v>445</v>
      </c>
      <c r="B225" s="31" t="s">
        <v>446</v>
      </c>
      <c r="C225" s="31" t="s">
        <v>1026</v>
      </c>
      <c r="D225" s="31" t="s">
        <v>656</v>
      </c>
      <c r="E225" s="31" t="s">
        <v>668</v>
      </c>
      <c r="F225" s="31" t="s">
        <v>638</v>
      </c>
      <c r="G225" s="31" t="s">
        <v>638</v>
      </c>
      <c r="H225" s="33" t="s">
        <v>638</v>
      </c>
      <c r="I225" s="33" t="s">
        <v>638</v>
      </c>
      <c r="J225" s="33">
        <v>0</v>
      </c>
      <c r="K225" s="33">
        <v>0</v>
      </c>
      <c r="L225" s="33">
        <v>0</v>
      </c>
      <c r="M225" s="33">
        <v>0</v>
      </c>
      <c r="N225" s="33">
        <v>0</v>
      </c>
      <c r="O225" s="33">
        <v>0</v>
      </c>
      <c r="P225" s="33"/>
    </row>
    <row r="226" spans="1:16">
      <c r="A226" s="31" t="s">
        <v>447</v>
      </c>
      <c r="B226" s="31" t="s">
        <v>448</v>
      </c>
      <c r="C226" s="31" t="s">
        <v>1026</v>
      </c>
      <c r="D226" s="31" t="s">
        <v>656</v>
      </c>
      <c r="E226" s="31" t="s">
        <v>668</v>
      </c>
      <c r="F226" s="31" t="s">
        <v>638</v>
      </c>
      <c r="G226" s="31" t="s">
        <v>638</v>
      </c>
      <c r="H226" s="33" t="s">
        <v>638</v>
      </c>
      <c r="I226" s="33" t="s">
        <v>638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3">
        <v>0</v>
      </c>
      <c r="P226" s="33"/>
    </row>
    <row r="227" spans="1:16">
      <c r="A227" s="31" t="s">
        <v>449</v>
      </c>
      <c r="B227" s="31" t="s">
        <v>450</v>
      </c>
      <c r="C227" s="31" t="s">
        <v>1026</v>
      </c>
      <c r="D227" s="31" t="s">
        <v>656</v>
      </c>
      <c r="E227" s="31" t="s">
        <v>668</v>
      </c>
      <c r="F227" s="31" t="s">
        <v>638</v>
      </c>
      <c r="G227" s="31" t="s">
        <v>638</v>
      </c>
      <c r="H227" s="33" t="s">
        <v>638</v>
      </c>
      <c r="I227" s="33" t="s">
        <v>638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3">
        <v>0</v>
      </c>
      <c r="P227" s="33"/>
    </row>
    <row r="228" spans="1:16">
      <c r="A228" s="31" t="s">
        <v>451</v>
      </c>
      <c r="B228" s="31" t="s">
        <v>452</v>
      </c>
      <c r="C228" s="31" t="s">
        <v>653</v>
      </c>
      <c r="D228" s="31" t="s">
        <v>664</v>
      </c>
      <c r="E228" s="31" t="s">
        <v>638</v>
      </c>
      <c r="F228" s="31" t="s">
        <v>665</v>
      </c>
      <c r="G228" s="31" t="s">
        <v>665</v>
      </c>
      <c r="H228" s="33" t="s">
        <v>638</v>
      </c>
      <c r="I228" s="33" t="s">
        <v>638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3">
        <v>0</v>
      </c>
      <c r="P228" s="33"/>
    </row>
    <row r="229" spans="1:16">
      <c r="A229" s="31" t="s">
        <v>453</v>
      </c>
      <c r="B229" s="31" t="s">
        <v>454</v>
      </c>
      <c r="C229" s="31" t="s">
        <v>1026</v>
      </c>
      <c r="D229" s="31" t="s">
        <v>656</v>
      </c>
      <c r="E229" s="31" t="s">
        <v>668</v>
      </c>
      <c r="F229" s="31" t="s">
        <v>638</v>
      </c>
      <c r="G229" s="31" t="s">
        <v>638</v>
      </c>
      <c r="H229" s="33" t="s">
        <v>638</v>
      </c>
      <c r="I229" s="33" t="s">
        <v>638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/>
    </row>
    <row r="230" spans="1:16">
      <c r="A230" s="36" t="s">
        <v>455</v>
      </c>
      <c r="B230" s="36" t="s">
        <v>456</v>
      </c>
      <c r="C230" s="31" t="s">
        <v>1026</v>
      </c>
      <c r="D230" s="31" t="s">
        <v>596</v>
      </c>
      <c r="E230" s="37" t="s">
        <v>597</v>
      </c>
      <c r="F230" s="33" t="s">
        <v>698</v>
      </c>
      <c r="G230" s="33" t="s">
        <v>638</v>
      </c>
      <c r="H230" s="33" t="s">
        <v>638</v>
      </c>
      <c r="I230" s="33" t="s">
        <v>638</v>
      </c>
      <c r="J230" s="33">
        <v>0</v>
      </c>
      <c r="K230" s="33">
        <v>0</v>
      </c>
      <c r="L230" s="33">
        <v>0</v>
      </c>
      <c r="M230" s="33">
        <v>0</v>
      </c>
      <c r="N230" s="33">
        <v>0</v>
      </c>
      <c r="O230" s="33">
        <v>0</v>
      </c>
      <c r="P230" s="33"/>
    </row>
    <row r="231" spans="1:16">
      <c r="A231" s="38" t="s">
        <v>457</v>
      </c>
      <c r="B231" s="38" t="s">
        <v>458</v>
      </c>
      <c r="C231" s="31" t="s">
        <v>1026</v>
      </c>
      <c r="D231" s="31" t="s">
        <v>656</v>
      </c>
      <c r="E231" s="31" t="s">
        <v>668</v>
      </c>
      <c r="F231" s="33" t="s">
        <v>638</v>
      </c>
      <c r="G231" s="33" t="s">
        <v>638</v>
      </c>
      <c r="H231" s="33" t="s">
        <v>638</v>
      </c>
      <c r="I231" s="33" t="s">
        <v>638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3">
        <v>0</v>
      </c>
      <c r="P231" s="33"/>
    </row>
    <row r="232" spans="1:16">
      <c r="A232" s="36" t="s">
        <v>459</v>
      </c>
      <c r="B232" s="36" t="s">
        <v>460</v>
      </c>
      <c r="C232" s="31" t="s">
        <v>1026</v>
      </c>
      <c r="D232" s="31" t="s">
        <v>656</v>
      </c>
      <c r="E232" s="31" t="s">
        <v>668</v>
      </c>
      <c r="F232" s="33" t="s">
        <v>638</v>
      </c>
      <c r="G232" s="33" t="s">
        <v>638</v>
      </c>
      <c r="H232" s="33" t="s">
        <v>638</v>
      </c>
      <c r="I232" s="33" t="s">
        <v>638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3">
        <v>0</v>
      </c>
      <c r="P232" s="33"/>
    </row>
    <row r="233" spans="1:16">
      <c r="A233" s="38" t="s">
        <v>461</v>
      </c>
      <c r="B233" s="38" t="s">
        <v>462</v>
      </c>
      <c r="C233" s="37" t="s">
        <v>711</v>
      </c>
      <c r="D233" s="31" t="s">
        <v>712</v>
      </c>
      <c r="E233" s="37" t="s">
        <v>638</v>
      </c>
      <c r="F233" s="33" t="s">
        <v>638</v>
      </c>
      <c r="G233" s="33" t="s">
        <v>638</v>
      </c>
      <c r="H233" s="33" t="s">
        <v>638</v>
      </c>
      <c r="I233" s="33" t="s">
        <v>638</v>
      </c>
      <c r="J233" s="33">
        <v>0</v>
      </c>
      <c r="K233" s="33">
        <v>0</v>
      </c>
      <c r="L233" s="33">
        <v>0</v>
      </c>
      <c r="M233" s="33">
        <v>0</v>
      </c>
      <c r="N233" s="33">
        <v>0</v>
      </c>
      <c r="O233" s="33">
        <v>0</v>
      </c>
      <c r="P233" s="33"/>
    </row>
    <row r="234" spans="1:16">
      <c r="A234" s="36" t="s">
        <v>463</v>
      </c>
      <c r="B234" s="36" t="s">
        <v>464</v>
      </c>
      <c r="C234" s="37" t="s">
        <v>711</v>
      </c>
      <c r="D234" s="31" t="s">
        <v>712</v>
      </c>
      <c r="E234" s="37" t="s">
        <v>638</v>
      </c>
      <c r="F234" s="33" t="s">
        <v>638</v>
      </c>
      <c r="G234" s="33" t="s">
        <v>638</v>
      </c>
      <c r="H234" s="33" t="s">
        <v>638</v>
      </c>
      <c r="I234" s="33" t="s">
        <v>638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3">
        <v>0</v>
      </c>
      <c r="P234" s="33"/>
    </row>
    <row r="235" spans="1:16">
      <c r="A235" s="38" t="s">
        <v>465</v>
      </c>
      <c r="B235" s="38" t="s">
        <v>466</v>
      </c>
      <c r="C235" s="37" t="s">
        <v>711</v>
      </c>
      <c r="D235" s="31" t="s">
        <v>712</v>
      </c>
      <c r="E235" s="37" t="s">
        <v>638</v>
      </c>
      <c r="F235" s="33" t="s">
        <v>638</v>
      </c>
      <c r="G235" s="33" t="s">
        <v>638</v>
      </c>
      <c r="H235" s="33" t="s">
        <v>638</v>
      </c>
      <c r="I235" s="33" t="s">
        <v>638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3">
        <v>0</v>
      </c>
      <c r="P235" s="33"/>
    </row>
    <row r="236" spans="1:16">
      <c r="A236" s="36" t="s">
        <v>467</v>
      </c>
      <c r="B236" s="36" t="s">
        <v>468</v>
      </c>
      <c r="C236" s="37" t="s">
        <v>714</v>
      </c>
      <c r="D236" s="37" t="s">
        <v>715</v>
      </c>
      <c r="E236" s="37" t="s">
        <v>638</v>
      </c>
      <c r="F236" s="33" t="s">
        <v>638</v>
      </c>
      <c r="G236" s="33" t="s">
        <v>638</v>
      </c>
      <c r="H236" s="33" t="s">
        <v>638</v>
      </c>
      <c r="I236" s="33" t="s">
        <v>638</v>
      </c>
      <c r="J236" s="33">
        <v>0</v>
      </c>
      <c r="K236" s="33">
        <v>0</v>
      </c>
      <c r="L236" s="33">
        <v>0</v>
      </c>
      <c r="M236" s="33">
        <v>0</v>
      </c>
      <c r="N236" s="33">
        <v>0</v>
      </c>
      <c r="O236" s="33">
        <v>0</v>
      </c>
      <c r="P236" s="33"/>
    </row>
    <row r="237" spans="1:16">
      <c r="A237" s="41" t="s">
        <v>469</v>
      </c>
      <c r="B237" s="41" t="s">
        <v>470</v>
      </c>
      <c r="C237" s="37" t="s">
        <v>1090</v>
      </c>
      <c r="D237" s="37" t="s">
        <v>1090</v>
      </c>
      <c r="E237" s="37" t="s">
        <v>638</v>
      </c>
      <c r="F237" s="37" t="s">
        <v>638</v>
      </c>
      <c r="G237" s="33" t="s">
        <v>638</v>
      </c>
      <c r="H237" s="33" t="s">
        <v>638</v>
      </c>
      <c r="I237" s="33" t="s">
        <v>638</v>
      </c>
      <c r="J237" s="33">
        <v>0</v>
      </c>
      <c r="K237" s="33">
        <v>0</v>
      </c>
      <c r="L237" s="33">
        <v>0</v>
      </c>
      <c r="M237" s="33">
        <v>0</v>
      </c>
      <c r="N237" s="33">
        <v>0</v>
      </c>
      <c r="O237" s="33">
        <v>0</v>
      </c>
      <c r="P237" s="33"/>
    </row>
    <row r="238" spans="1:16">
      <c r="A238" s="36" t="s">
        <v>471</v>
      </c>
      <c r="B238" s="36" t="s">
        <v>472</v>
      </c>
      <c r="C238" s="31" t="s">
        <v>653</v>
      </c>
      <c r="D238" s="37" t="s">
        <v>717</v>
      </c>
      <c r="E238" s="37" t="s">
        <v>638</v>
      </c>
      <c r="F238" s="33" t="s">
        <v>638</v>
      </c>
      <c r="G238" s="33" t="s">
        <v>638</v>
      </c>
      <c r="H238" s="33" t="s">
        <v>638</v>
      </c>
      <c r="I238" s="33" t="s">
        <v>638</v>
      </c>
      <c r="J238" s="33">
        <v>0</v>
      </c>
      <c r="K238" s="33">
        <v>0</v>
      </c>
      <c r="L238" s="33">
        <v>0</v>
      </c>
      <c r="M238" s="33">
        <v>0</v>
      </c>
      <c r="N238" s="33">
        <v>0</v>
      </c>
      <c r="O238" s="33">
        <v>0</v>
      </c>
      <c r="P238" s="33"/>
    </row>
    <row r="239" spans="1:16">
      <c r="A239" s="38" t="s">
        <v>473</v>
      </c>
      <c r="B239" s="38" t="s">
        <v>474</v>
      </c>
      <c r="C239" s="31" t="s">
        <v>653</v>
      </c>
      <c r="D239" s="37" t="s">
        <v>717</v>
      </c>
      <c r="E239" s="37" t="s">
        <v>638</v>
      </c>
      <c r="F239" s="33" t="s">
        <v>638</v>
      </c>
      <c r="G239" s="33" t="s">
        <v>638</v>
      </c>
      <c r="H239" s="33" t="s">
        <v>638</v>
      </c>
      <c r="I239" s="33" t="s">
        <v>638</v>
      </c>
      <c r="J239" s="33">
        <v>0</v>
      </c>
      <c r="K239" s="33">
        <v>0</v>
      </c>
      <c r="L239" s="33">
        <v>0</v>
      </c>
      <c r="M239" s="33">
        <v>0</v>
      </c>
      <c r="N239" s="33">
        <v>0</v>
      </c>
      <c r="O239" s="33">
        <v>0</v>
      </c>
      <c r="P239" s="33"/>
    </row>
    <row r="240" spans="1:16">
      <c r="A240" s="36" t="s">
        <v>475</v>
      </c>
      <c r="B240" s="36" t="s">
        <v>476</v>
      </c>
      <c r="C240" s="31" t="s">
        <v>1026</v>
      </c>
      <c r="D240" s="31" t="s">
        <v>599</v>
      </c>
      <c r="E240" s="31" t="s">
        <v>600</v>
      </c>
      <c r="F240" s="33" t="s">
        <v>619</v>
      </c>
      <c r="G240" s="33" t="s">
        <v>619</v>
      </c>
      <c r="H240" s="33" t="s">
        <v>638</v>
      </c>
      <c r="I240" s="33" t="s">
        <v>638</v>
      </c>
      <c r="J240" s="33">
        <v>172025</v>
      </c>
      <c r="K240" s="33">
        <v>0</v>
      </c>
      <c r="L240" s="33">
        <v>0</v>
      </c>
      <c r="M240" s="33">
        <v>0</v>
      </c>
      <c r="N240" s="33">
        <v>0</v>
      </c>
      <c r="O240" s="33">
        <v>0</v>
      </c>
      <c r="P240" s="33">
        <f>VLOOKUP(F240,Royalty!$A$3:$B$49,2,0)</f>
        <v>2</v>
      </c>
    </row>
    <row r="241" spans="1:16">
      <c r="A241" s="38" t="s">
        <v>477</v>
      </c>
      <c r="B241" s="38" t="s">
        <v>478</v>
      </c>
      <c r="C241" s="31" t="s">
        <v>1026</v>
      </c>
      <c r="D241" s="31" t="s">
        <v>599</v>
      </c>
      <c r="E241" s="31" t="s">
        <v>613</v>
      </c>
      <c r="F241" s="33" t="s">
        <v>689</v>
      </c>
      <c r="G241" s="33" t="s">
        <v>638</v>
      </c>
      <c r="H241" s="33" t="s">
        <v>638</v>
      </c>
      <c r="I241" s="33" t="s">
        <v>638</v>
      </c>
      <c r="J241" s="33">
        <v>0</v>
      </c>
      <c r="K241" s="33">
        <v>0</v>
      </c>
      <c r="L241" s="33">
        <v>0</v>
      </c>
      <c r="M241" s="33">
        <v>0</v>
      </c>
      <c r="N241" s="33">
        <v>0</v>
      </c>
      <c r="O241" s="33">
        <v>0</v>
      </c>
      <c r="P241" s="33"/>
    </row>
    <row r="242" spans="1:16">
      <c r="A242" s="36" t="s">
        <v>479</v>
      </c>
      <c r="B242" s="36" t="s">
        <v>480</v>
      </c>
      <c r="C242" s="31" t="s">
        <v>653</v>
      </c>
      <c r="D242" s="31" t="s">
        <v>663</v>
      </c>
      <c r="E242" s="31" t="s">
        <v>1081</v>
      </c>
      <c r="F242" s="33" t="s">
        <v>1082</v>
      </c>
      <c r="G242" s="33" t="s">
        <v>638</v>
      </c>
      <c r="H242" s="33" t="s">
        <v>638</v>
      </c>
      <c r="I242" s="33" t="s">
        <v>638</v>
      </c>
      <c r="J242" s="33">
        <v>0</v>
      </c>
      <c r="K242" s="33">
        <v>0</v>
      </c>
      <c r="L242" s="33">
        <v>0</v>
      </c>
      <c r="M242" s="33">
        <v>0</v>
      </c>
      <c r="N242" s="33">
        <v>0</v>
      </c>
      <c r="O242" s="33">
        <v>0</v>
      </c>
      <c r="P242" s="33"/>
    </row>
    <row r="243" spans="1:16">
      <c r="A243" s="38" t="s">
        <v>481</v>
      </c>
      <c r="B243" s="38" t="s">
        <v>482</v>
      </c>
      <c r="C243" s="31" t="s">
        <v>653</v>
      </c>
      <c r="D243" s="31" t="s">
        <v>663</v>
      </c>
      <c r="E243" s="31" t="s">
        <v>1081</v>
      </c>
      <c r="F243" s="33" t="s">
        <v>1082</v>
      </c>
      <c r="G243" s="33" t="s">
        <v>638</v>
      </c>
      <c r="H243" s="33" t="s">
        <v>638</v>
      </c>
      <c r="I243" s="33" t="s">
        <v>638</v>
      </c>
      <c r="J243" s="33">
        <v>0</v>
      </c>
      <c r="K243" s="33" t="s">
        <v>1042</v>
      </c>
      <c r="L243" s="33" t="s">
        <v>1031</v>
      </c>
      <c r="M243" s="33">
        <v>10</v>
      </c>
      <c r="N243" s="33" t="s">
        <v>1043</v>
      </c>
      <c r="O243" s="33">
        <v>171005</v>
      </c>
      <c r="P243" s="33"/>
    </row>
    <row r="244" spans="1:16">
      <c r="A244" s="42" t="s">
        <v>483</v>
      </c>
      <c r="B244" s="42" t="s">
        <v>1091</v>
      </c>
      <c r="C244" s="34" t="s">
        <v>1026</v>
      </c>
      <c r="D244" s="34" t="s">
        <v>596</v>
      </c>
      <c r="E244" s="37" t="s">
        <v>597</v>
      </c>
      <c r="F244" s="37" t="s">
        <v>603</v>
      </c>
      <c r="G244" s="33" t="s">
        <v>638</v>
      </c>
      <c r="H244" s="33" t="s">
        <v>638</v>
      </c>
      <c r="I244" s="33" t="s">
        <v>638</v>
      </c>
      <c r="J244" s="33">
        <v>171005</v>
      </c>
      <c r="K244" s="33" t="s">
        <v>1042</v>
      </c>
      <c r="L244" s="33" t="s">
        <v>1031</v>
      </c>
      <c r="M244" s="33">
        <v>10</v>
      </c>
      <c r="N244" s="33" t="s">
        <v>1043</v>
      </c>
      <c r="O244" s="33">
        <v>171005</v>
      </c>
      <c r="P244" s="33">
        <f>VLOOKUP(F244,Royalty!$A$3:$B$49,2,0)</f>
        <v>3</v>
      </c>
    </row>
    <row r="245" spans="1:16">
      <c r="A245" s="41" t="s">
        <v>485</v>
      </c>
      <c r="B245" s="41" t="s">
        <v>486</v>
      </c>
      <c r="C245" s="37" t="s">
        <v>1092</v>
      </c>
      <c r="D245" s="37" t="s">
        <v>1093</v>
      </c>
      <c r="E245" s="37" t="s">
        <v>638</v>
      </c>
      <c r="F245" s="37" t="s">
        <v>638</v>
      </c>
      <c r="G245" s="33" t="s">
        <v>638</v>
      </c>
      <c r="H245" s="33" t="s">
        <v>638</v>
      </c>
      <c r="I245" s="33" t="s">
        <v>638</v>
      </c>
      <c r="J245" s="33">
        <v>0</v>
      </c>
      <c r="K245" s="33" t="s">
        <v>1038</v>
      </c>
      <c r="L245" s="33" t="s">
        <v>1031</v>
      </c>
      <c r="M245" s="33">
        <v>1</v>
      </c>
      <c r="N245" s="33" t="s">
        <v>1029</v>
      </c>
      <c r="O245" s="33">
        <v>171005</v>
      </c>
      <c r="P245" s="33"/>
    </row>
    <row r="246" spans="1:16">
      <c r="A246" s="42" t="s">
        <v>487</v>
      </c>
      <c r="B246" s="42" t="s">
        <v>488</v>
      </c>
      <c r="C246" s="34" t="s">
        <v>1026</v>
      </c>
      <c r="D246" s="43" t="s">
        <v>656</v>
      </c>
      <c r="E246" s="37" t="s">
        <v>657</v>
      </c>
      <c r="F246" s="37" t="s">
        <v>638</v>
      </c>
      <c r="G246" s="33" t="s">
        <v>638</v>
      </c>
      <c r="H246" s="33" t="s">
        <v>638</v>
      </c>
      <c r="I246" s="33" t="s">
        <v>638</v>
      </c>
      <c r="J246" s="33">
        <v>0</v>
      </c>
      <c r="K246" s="33" t="s">
        <v>1027</v>
      </c>
      <c r="L246" s="33" t="s">
        <v>1034</v>
      </c>
      <c r="M246" s="33">
        <v>5</v>
      </c>
      <c r="N246" s="33" t="s">
        <v>1037</v>
      </c>
      <c r="O246" s="33">
        <v>0</v>
      </c>
      <c r="P246" s="33"/>
    </row>
    <row r="247" spans="1:16">
      <c r="A247" s="41" t="s">
        <v>489</v>
      </c>
      <c r="B247" s="41" t="s">
        <v>490</v>
      </c>
      <c r="C247" s="34" t="s">
        <v>1026</v>
      </c>
      <c r="D247" s="43" t="s">
        <v>656</v>
      </c>
      <c r="E247" s="43" t="s">
        <v>668</v>
      </c>
      <c r="F247" s="37" t="s">
        <v>638</v>
      </c>
      <c r="G247" s="33" t="s">
        <v>638</v>
      </c>
      <c r="H247" s="33" t="s">
        <v>638</v>
      </c>
      <c r="I247" s="33" t="s">
        <v>638</v>
      </c>
      <c r="J247" s="33">
        <v>0</v>
      </c>
      <c r="K247" s="33" t="s">
        <v>1094</v>
      </c>
      <c r="L247" s="33" t="s">
        <v>1039</v>
      </c>
      <c r="M247" s="33">
        <v>30</v>
      </c>
      <c r="N247" s="33">
        <v>0</v>
      </c>
      <c r="O247" s="33">
        <v>0</v>
      </c>
      <c r="P247" s="33"/>
    </row>
    <row r="248" spans="1:16">
      <c r="A248" s="42" t="s">
        <v>491</v>
      </c>
      <c r="B248" s="42" t="s">
        <v>492</v>
      </c>
      <c r="C248" s="34" t="s">
        <v>1026</v>
      </c>
      <c r="D248" s="43" t="s">
        <v>656</v>
      </c>
      <c r="E248" s="43" t="s">
        <v>668</v>
      </c>
      <c r="F248" s="37" t="s">
        <v>638</v>
      </c>
      <c r="G248" s="33" t="s">
        <v>638</v>
      </c>
      <c r="H248" s="33" t="s">
        <v>638</v>
      </c>
      <c r="I248" s="33" t="s">
        <v>638</v>
      </c>
      <c r="J248" s="33">
        <v>0</v>
      </c>
      <c r="K248" s="33" t="s">
        <v>1094</v>
      </c>
      <c r="L248" s="33" t="s">
        <v>1039</v>
      </c>
      <c r="M248" s="33">
        <v>30</v>
      </c>
      <c r="N248" s="33">
        <v>0</v>
      </c>
      <c r="O248" s="33">
        <v>0</v>
      </c>
      <c r="P248" s="33"/>
    </row>
    <row r="249" spans="1:16">
      <c r="A249" s="39" t="s">
        <v>493</v>
      </c>
      <c r="B249" s="39" t="s">
        <v>494</v>
      </c>
      <c r="C249" s="34" t="s">
        <v>1095</v>
      </c>
      <c r="D249" s="37" t="s">
        <v>638</v>
      </c>
      <c r="E249" s="37" t="s">
        <v>638</v>
      </c>
      <c r="F249" s="37" t="s">
        <v>638</v>
      </c>
      <c r="G249" s="33" t="s">
        <v>638</v>
      </c>
      <c r="H249" s="33" t="s">
        <v>638</v>
      </c>
      <c r="I249" s="33" t="s">
        <v>638</v>
      </c>
      <c r="J249" s="33">
        <v>0</v>
      </c>
      <c r="K249" s="33">
        <v>0</v>
      </c>
      <c r="L249" s="33">
        <v>0</v>
      </c>
      <c r="M249" s="33">
        <v>1</v>
      </c>
      <c r="N249" s="33">
        <v>0</v>
      </c>
      <c r="O249" s="33">
        <v>0</v>
      </c>
      <c r="P249" s="33"/>
    </row>
    <row r="250" spans="1:16">
      <c r="A250" s="40" t="s">
        <v>495</v>
      </c>
      <c r="B250" s="40" t="s">
        <v>496</v>
      </c>
      <c r="C250" s="34" t="s">
        <v>1026</v>
      </c>
      <c r="D250" s="31" t="s">
        <v>695</v>
      </c>
      <c r="E250" s="31" t="s">
        <v>696</v>
      </c>
      <c r="F250" s="31" t="s">
        <v>638</v>
      </c>
      <c r="G250" s="33" t="s">
        <v>638</v>
      </c>
      <c r="H250" s="33" t="s">
        <v>638</v>
      </c>
      <c r="I250" s="33" t="s">
        <v>638</v>
      </c>
      <c r="J250" s="33">
        <v>0</v>
      </c>
      <c r="K250" s="33">
        <v>0</v>
      </c>
      <c r="L250" s="33">
        <v>0</v>
      </c>
      <c r="M250" s="33">
        <v>1</v>
      </c>
      <c r="N250" s="33">
        <v>0</v>
      </c>
      <c r="O250" s="33">
        <v>0</v>
      </c>
      <c r="P250" s="33"/>
    </row>
    <row r="251" spans="1:16">
      <c r="A251" s="39" t="s">
        <v>497</v>
      </c>
      <c r="B251" s="39" t="s">
        <v>498</v>
      </c>
      <c r="C251" s="31" t="s">
        <v>711</v>
      </c>
      <c r="D251" s="31" t="s">
        <v>712</v>
      </c>
      <c r="E251" s="31" t="s">
        <v>1089</v>
      </c>
      <c r="F251" s="33" t="s">
        <v>638</v>
      </c>
      <c r="G251" s="33" t="s">
        <v>638</v>
      </c>
      <c r="H251" s="33" t="s">
        <v>638</v>
      </c>
      <c r="I251" s="33" t="s">
        <v>638</v>
      </c>
      <c r="J251" s="33">
        <v>0</v>
      </c>
      <c r="K251" s="33">
        <v>0</v>
      </c>
      <c r="L251" s="33">
        <v>0</v>
      </c>
      <c r="M251" s="33">
        <v>1</v>
      </c>
      <c r="N251" s="33">
        <v>0</v>
      </c>
      <c r="O251" s="33">
        <v>0</v>
      </c>
      <c r="P251" s="33"/>
    </row>
    <row r="252" spans="1:16">
      <c r="A252" s="40" t="s">
        <v>499</v>
      </c>
      <c r="B252" s="40" t="s">
        <v>500</v>
      </c>
      <c r="C252" s="34" t="s">
        <v>1026</v>
      </c>
      <c r="D252" s="43" t="s">
        <v>656</v>
      </c>
      <c r="E252" s="43" t="s">
        <v>668</v>
      </c>
      <c r="F252" s="37" t="s">
        <v>638</v>
      </c>
      <c r="G252" s="33" t="s">
        <v>638</v>
      </c>
      <c r="H252" s="33" t="s">
        <v>638</v>
      </c>
      <c r="I252" s="33" t="s">
        <v>638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3">
        <v>0</v>
      </c>
      <c r="P252" s="33"/>
    </row>
    <row r="253" spans="1:16">
      <c r="A253" s="39" t="s">
        <v>501</v>
      </c>
      <c r="B253" s="39" t="s">
        <v>638</v>
      </c>
      <c r="C253" s="37" t="s">
        <v>638</v>
      </c>
      <c r="D253" s="37" t="s">
        <v>638</v>
      </c>
      <c r="E253" s="37" t="s">
        <v>638</v>
      </c>
      <c r="F253" s="37" t="s">
        <v>638</v>
      </c>
      <c r="G253" s="33" t="s">
        <v>638</v>
      </c>
      <c r="H253" s="33" t="s">
        <v>638</v>
      </c>
      <c r="I253" s="33" t="s">
        <v>638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3">
        <v>0</v>
      </c>
      <c r="P253" s="33"/>
    </row>
    <row r="254" spans="1:16">
      <c r="A254" s="40" t="s">
        <v>502</v>
      </c>
      <c r="B254" s="40" t="s">
        <v>503</v>
      </c>
      <c r="C254" s="34" t="s">
        <v>1026</v>
      </c>
      <c r="D254" s="43" t="s">
        <v>656</v>
      </c>
      <c r="E254" s="43" t="s">
        <v>668</v>
      </c>
      <c r="F254" s="37" t="s">
        <v>638</v>
      </c>
      <c r="G254" s="33" t="s">
        <v>638</v>
      </c>
      <c r="H254" s="33" t="s">
        <v>638</v>
      </c>
      <c r="I254" s="33" t="s">
        <v>638</v>
      </c>
      <c r="J254" s="33">
        <v>0</v>
      </c>
      <c r="K254" s="33">
        <v>0</v>
      </c>
      <c r="L254" s="33">
        <v>0</v>
      </c>
      <c r="M254" s="33">
        <v>0</v>
      </c>
      <c r="N254" s="33">
        <v>0</v>
      </c>
      <c r="O254" s="33">
        <v>0</v>
      </c>
      <c r="P254" s="33"/>
    </row>
    <row r="255" spans="1:16" ht="15.75">
      <c r="A255" s="39" t="s">
        <v>1096</v>
      </c>
      <c r="B255" s="39" t="s">
        <v>1097</v>
      </c>
      <c r="C255" s="31" t="s">
        <v>1026</v>
      </c>
      <c r="D255" s="31" t="s">
        <v>599</v>
      </c>
      <c r="E255" s="31" t="s">
        <v>613</v>
      </c>
      <c r="F255" s="32" t="s">
        <v>629</v>
      </c>
      <c r="G255" s="32" t="s">
        <v>629</v>
      </c>
      <c r="H255" s="33" t="s">
        <v>638</v>
      </c>
      <c r="I255" s="33" t="s">
        <v>638</v>
      </c>
      <c r="J255" s="33">
        <v>172015</v>
      </c>
      <c r="K255" s="33" t="s">
        <v>1030</v>
      </c>
      <c r="L255" s="33" t="s">
        <v>1039</v>
      </c>
      <c r="M255" s="33">
        <v>1</v>
      </c>
      <c r="N255" s="33" t="s">
        <v>1029</v>
      </c>
      <c r="O255" s="33">
        <v>172012</v>
      </c>
      <c r="P255" s="33">
        <f>VLOOKUP(F255,Royalty!$A$3:$B$49,2,0)</f>
        <v>2</v>
      </c>
    </row>
    <row r="256" spans="1:16">
      <c r="A256" s="39" t="s">
        <v>1098</v>
      </c>
      <c r="B256" s="39" t="s">
        <v>1099</v>
      </c>
      <c r="C256" s="31" t="s">
        <v>1026</v>
      </c>
      <c r="D256" s="31" t="s">
        <v>701</v>
      </c>
      <c r="E256" s="31" t="s">
        <v>702</v>
      </c>
      <c r="F256" s="31" t="s">
        <v>638</v>
      </c>
      <c r="G256" s="31" t="s">
        <v>638</v>
      </c>
      <c r="H256" s="33" t="s">
        <v>638</v>
      </c>
      <c r="I256" s="33" t="s">
        <v>638</v>
      </c>
      <c r="J256" s="33">
        <v>0</v>
      </c>
      <c r="K256" s="33" t="s">
        <v>1042</v>
      </c>
      <c r="L256" s="33" t="s">
        <v>1076</v>
      </c>
      <c r="M256" s="33">
        <v>1</v>
      </c>
      <c r="N256" s="33" t="s">
        <v>1043</v>
      </c>
      <c r="O256" s="33">
        <v>0</v>
      </c>
      <c r="P256" s="33"/>
    </row>
    <row r="257" spans="1:16">
      <c r="A257" s="39" t="s">
        <v>1100</v>
      </c>
      <c r="B257" s="39" t="s">
        <v>1101</v>
      </c>
      <c r="C257" s="31" t="s">
        <v>1026</v>
      </c>
      <c r="D257" s="31" t="s">
        <v>701</v>
      </c>
      <c r="E257" s="31" t="s">
        <v>702</v>
      </c>
      <c r="F257" s="31" t="s">
        <v>638</v>
      </c>
      <c r="G257" s="31" t="s">
        <v>638</v>
      </c>
      <c r="H257" s="33" t="s">
        <v>638</v>
      </c>
      <c r="I257" s="33" t="s">
        <v>638</v>
      </c>
      <c r="J257" s="33">
        <v>0</v>
      </c>
      <c r="K257" s="33" t="s">
        <v>1042</v>
      </c>
      <c r="L257" s="33" t="s">
        <v>1076</v>
      </c>
      <c r="M257" s="33">
        <v>1</v>
      </c>
      <c r="N257" s="33" t="s">
        <v>1043</v>
      </c>
      <c r="O257" s="33">
        <v>0</v>
      </c>
      <c r="P257" s="33"/>
    </row>
    <row r="258" spans="1:16">
      <c r="A258" s="40" t="s">
        <v>1102</v>
      </c>
      <c r="B258" s="40" t="s">
        <v>1103</v>
      </c>
      <c r="C258" s="31" t="s">
        <v>1026</v>
      </c>
      <c r="D258" s="31" t="s">
        <v>701</v>
      </c>
      <c r="E258" s="31" t="s">
        <v>702</v>
      </c>
      <c r="F258" s="31" t="s">
        <v>638</v>
      </c>
      <c r="G258" s="31" t="s">
        <v>638</v>
      </c>
      <c r="H258" s="33" t="s">
        <v>638</v>
      </c>
      <c r="I258" s="33" t="s">
        <v>638</v>
      </c>
      <c r="J258" s="33">
        <v>0</v>
      </c>
      <c r="K258" s="33" t="s">
        <v>1042</v>
      </c>
      <c r="L258" s="33" t="s">
        <v>1076</v>
      </c>
      <c r="M258" s="33">
        <v>1</v>
      </c>
      <c r="N258" s="33" t="s">
        <v>1043</v>
      </c>
      <c r="O258" s="33">
        <v>0</v>
      </c>
      <c r="P258" s="33"/>
    </row>
    <row r="259" spans="1:16">
      <c r="A259" s="39" t="s">
        <v>1104</v>
      </c>
      <c r="B259" s="39" t="s">
        <v>1105</v>
      </c>
      <c r="C259" s="34" t="s">
        <v>1026</v>
      </c>
      <c r="D259" s="43" t="s">
        <v>656</v>
      </c>
      <c r="E259" s="43" t="s">
        <v>668</v>
      </c>
      <c r="F259" s="37" t="s">
        <v>638</v>
      </c>
      <c r="G259" s="33" t="s">
        <v>638</v>
      </c>
      <c r="H259" s="33" t="s">
        <v>638</v>
      </c>
      <c r="I259" s="33" t="s">
        <v>638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3">
        <v>0</v>
      </c>
      <c r="P259" s="33"/>
    </row>
    <row r="260" spans="1:16">
      <c r="A260" s="40" t="s">
        <v>1106</v>
      </c>
      <c r="B260" s="40" t="s">
        <v>1107</v>
      </c>
      <c r="C260" s="34" t="s">
        <v>1026</v>
      </c>
      <c r="D260" s="43" t="s">
        <v>656</v>
      </c>
      <c r="E260" s="43" t="s">
        <v>668</v>
      </c>
      <c r="F260" s="37" t="s">
        <v>638</v>
      </c>
      <c r="G260" s="33" t="s">
        <v>638</v>
      </c>
      <c r="H260" s="33" t="s">
        <v>638</v>
      </c>
      <c r="I260" s="33" t="s">
        <v>638</v>
      </c>
      <c r="J260" s="33">
        <v>0</v>
      </c>
      <c r="K260" s="33">
        <v>0</v>
      </c>
      <c r="L260" s="33">
        <v>0</v>
      </c>
      <c r="M260" s="33">
        <v>0</v>
      </c>
      <c r="N260" s="33">
        <v>0</v>
      </c>
      <c r="O260" s="33">
        <v>0</v>
      </c>
      <c r="P260" s="33"/>
    </row>
    <row r="261" spans="1:16">
      <c r="A261" s="39" t="s">
        <v>1108</v>
      </c>
      <c r="B261" s="39" t="s">
        <v>1109</v>
      </c>
      <c r="C261" s="34" t="s">
        <v>1026</v>
      </c>
      <c r="D261" s="43" t="s">
        <v>656</v>
      </c>
      <c r="E261" s="43" t="s">
        <v>668</v>
      </c>
      <c r="F261" s="37" t="s">
        <v>638</v>
      </c>
      <c r="G261" s="33" t="s">
        <v>638</v>
      </c>
      <c r="H261" s="33" t="s">
        <v>638</v>
      </c>
      <c r="I261" s="33" t="s">
        <v>638</v>
      </c>
      <c r="J261" s="33">
        <v>0</v>
      </c>
      <c r="K261" s="33">
        <v>0</v>
      </c>
      <c r="L261" s="33">
        <v>0</v>
      </c>
      <c r="M261" s="33">
        <v>0</v>
      </c>
      <c r="N261" s="33">
        <v>0</v>
      </c>
      <c r="O261" s="33">
        <v>0</v>
      </c>
      <c r="P261" s="33"/>
    </row>
    <row r="262" spans="1:16">
      <c r="A262" s="40" t="s">
        <v>1110</v>
      </c>
      <c r="B262" s="40" t="s">
        <v>1111</v>
      </c>
      <c r="C262" s="34" t="s">
        <v>1026</v>
      </c>
      <c r="D262" s="43" t="s">
        <v>656</v>
      </c>
      <c r="E262" s="37" t="s">
        <v>657</v>
      </c>
      <c r="F262" s="37" t="s">
        <v>638</v>
      </c>
      <c r="G262" s="33" t="s">
        <v>638</v>
      </c>
      <c r="H262" s="33" t="s">
        <v>638</v>
      </c>
      <c r="I262" s="33" t="s">
        <v>638</v>
      </c>
      <c r="J262" s="33">
        <v>0</v>
      </c>
      <c r="K262" s="33" t="s">
        <v>1027</v>
      </c>
      <c r="L262" s="33" t="s">
        <v>1034</v>
      </c>
      <c r="M262" s="33">
        <v>5</v>
      </c>
      <c r="N262" s="33" t="s">
        <v>1037</v>
      </c>
      <c r="O262" s="33">
        <v>0</v>
      </c>
      <c r="P262" s="33"/>
    </row>
    <row r="263" spans="1:16">
      <c r="A263" s="39" t="s">
        <v>1112</v>
      </c>
      <c r="B263" s="39" t="s">
        <v>1113</v>
      </c>
      <c r="C263" s="34" t="s">
        <v>1026</v>
      </c>
      <c r="D263" s="31" t="s">
        <v>695</v>
      </c>
      <c r="E263" s="31" t="s">
        <v>696</v>
      </c>
      <c r="F263" s="31" t="s">
        <v>638</v>
      </c>
      <c r="G263" s="33" t="s">
        <v>638</v>
      </c>
      <c r="H263" s="33" t="s">
        <v>638</v>
      </c>
      <c r="I263" s="33" t="s">
        <v>638</v>
      </c>
      <c r="J263" s="33">
        <v>0</v>
      </c>
      <c r="K263" s="33">
        <v>0</v>
      </c>
      <c r="L263" s="33">
        <v>0</v>
      </c>
      <c r="M263" s="33">
        <v>1</v>
      </c>
      <c r="N263" s="33">
        <v>0</v>
      </c>
      <c r="O263" s="33">
        <v>0</v>
      </c>
      <c r="P263" s="33"/>
    </row>
    <row r="264" spans="1:16">
      <c r="A264" s="40" t="s">
        <v>1114</v>
      </c>
      <c r="B264" s="40" t="s">
        <v>1115</v>
      </c>
      <c r="C264" s="34" t="s">
        <v>1026</v>
      </c>
      <c r="D264" s="43" t="s">
        <v>656</v>
      </c>
      <c r="E264" s="37" t="s">
        <v>657</v>
      </c>
      <c r="F264" s="37" t="s">
        <v>638</v>
      </c>
      <c r="G264" s="33" t="s">
        <v>638</v>
      </c>
      <c r="H264" s="33" t="s">
        <v>638</v>
      </c>
      <c r="I264" s="33" t="s">
        <v>638</v>
      </c>
      <c r="J264" s="33">
        <v>0</v>
      </c>
      <c r="K264" s="33" t="s">
        <v>1027</v>
      </c>
      <c r="L264" s="33" t="s">
        <v>1034</v>
      </c>
      <c r="M264" s="33">
        <v>5</v>
      </c>
      <c r="N264" s="33" t="s">
        <v>1037</v>
      </c>
      <c r="O264" s="33">
        <v>0</v>
      </c>
      <c r="P264" s="33"/>
    </row>
    <row r="265" spans="1:16">
      <c r="A265" s="39" t="s">
        <v>1116</v>
      </c>
      <c r="B265" s="39" t="s">
        <v>1117</v>
      </c>
      <c r="C265" s="34" t="s">
        <v>1026</v>
      </c>
      <c r="D265" s="43" t="s">
        <v>656</v>
      </c>
      <c r="E265" s="37" t="s">
        <v>657</v>
      </c>
      <c r="F265" s="37" t="s">
        <v>638</v>
      </c>
      <c r="G265" s="33" t="s">
        <v>638</v>
      </c>
      <c r="H265" s="33" t="s">
        <v>638</v>
      </c>
      <c r="I265" s="33" t="s">
        <v>638</v>
      </c>
      <c r="J265" s="33">
        <v>0</v>
      </c>
      <c r="K265" s="33" t="s">
        <v>1027</v>
      </c>
      <c r="L265" s="33" t="s">
        <v>1034</v>
      </c>
      <c r="M265" s="33">
        <v>5</v>
      </c>
      <c r="N265" s="33" t="s">
        <v>1037</v>
      </c>
      <c r="O265" s="33">
        <v>0</v>
      </c>
      <c r="P265" s="33"/>
    </row>
    <row r="266" spans="1:16">
      <c r="A266" s="40" t="s">
        <v>1118</v>
      </c>
      <c r="B266" s="40" t="s">
        <v>1119</v>
      </c>
      <c r="C266" s="34" t="s">
        <v>1026</v>
      </c>
      <c r="D266" s="43" t="s">
        <v>656</v>
      </c>
      <c r="E266" s="43" t="s">
        <v>668</v>
      </c>
      <c r="F266" s="37" t="s">
        <v>638</v>
      </c>
      <c r="G266" s="33" t="s">
        <v>638</v>
      </c>
      <c r="H266" s="33" t="s">
        <v>638</v>
      </c>
      <c r="I266" s="33" t="s">
        <v>638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3">
        <v>0</v>
      </c>
      <c r="P266" s="33"/>
    </row>
    <row r="267" spans="1:16">
      <c r="A267" s="39" t="s">
        <v>1120</v>
      </c>
      <c r="B267" s="39" t="s">
        <v>1121</v>
      </c>
      <c r="C267" s="34" t="s">
        <v>1026</v>
      </c>
      <c r="D267" s="43" t="s">
        <v>656</v>
      </c>
      <c r="E267" s="37" t="s">
        <v>657</v>
      </c>
      <c r="F267" s="37" t="s">
        <v>638</v>
      </c>
      <c r="G267" s="33" t="s">
        <v>638</v>
      </c>
      <c r="H267" s="33" t="s">
        <v>638</v>
      </c>
      <c r="I267" s="33" t="s">
        <v>638</v>
      </c>
      <c r="J267" s="33">
        <v>0</v>
      </c>
      <c r="K267" s="33" t="s">
        <v>1027</v>
      </c>
      <c r="L267" s="33" t="s">
        <v>1034</v>
      </c>
      <c r="M267" s="33">
        <v>5</v>
      </c>
      <c r="N267" s="33" t="s">
        <v>1037</v>
      </c>
      <c r="O267" s="33">
        <v>0</v>
      </c>
      <c r="P267" s="33"/>
    </row>
    <row r="268" spans="1:16">
      <c r="A268" s="40" t="s">
        <v>1122</v>
      </c>
      <c r="B268" s="40" t="s">
        <v>1123</v>
      </c>
      <c r="C268" s="34" t="s">
        <v>1026</v>
      </c>
      <c r="D268" s="43" t="s">
        <v>656</v>
      </c>
      <c r="E268" s="37" t="s">
        <v>657</v>
      </c>
      <c r="F268" s="37" t="s">
        <v>638</v>
      </c>
      <c r="G268" s="33" t="s">
        <v>638</v>
      </c>
      <c r="H268" s="33" t="s">
        <v>638</v>
      </c>
      <c r="I268" s="33" t="s">
        <v>638</v>
      </c>
      <c r="J268" s="33">
        <v>0</v>
      </c>
      <c r="K268" s="33" t="s">
        <v>1027</v>
      </c>
      <c r="L268" s="33" t="s">
        <v>1034</v>
      </c>
      <c r="M268" s="33">
        <v>5</v>
      </c>
      <c r="N268" s="33" t="s">
        <v>1037</v>
      </c>
      <c r="O268" s="33">
        <v>0</v>
      </c>
      <c r="P268" s="33"/>
    </row>
    <row r="269" spans="1:16">
      <c r="A269" s="39" t="s">
        <v>1124</v>
      </c>
      <c r="B269" s="39" t="s">
        <v>1125</v>
      </c>
      <c r="C269" s="34" t="s">
        <v>1026</v>
      </c>
      <c r="D269" s="43" t="s">
        <v>656</v>
      </c>
      <c r="E269" s="37" t="s">
        <v>657</v>
      </c>
      <c r="F269" s="37" t="s">
        <v>638</v>
      </c>
      <c r="G269" s="33" t="s">
        <v>638</v>
      </c>
      <c r="H269" s="33" t="s">
        <v>638</v>
      </c>
      <c r="I269" s="33" t="s">
        <v>638</v>
      </c>
      <c r="J269" s="33">
        <v>0</v>
      </c>
      <c r="K269" s="33" t="s">
        <v>1027</v>
      </c>
      <c r="L269" s="33" t="s">
        <v>1034</v>
      </c>
      <c r="M269" s="33">
        <v>5</v>
      </c>
      <c r="N269" s="33" t="s">
        <v>1037</v>
      </c>
      <c r="O269" s="33">
        <v>0</v>
      </c>
      <c r="P269" s="33"/>
    </row>
    <row r="270" spans="1:16">
      <c r="A270" s="16" t="s">
        <v>1126</v>
      </c>
      <c r="B270" s="17" t="s">
        <v>1127</v>
      </c>
      <c r="C270" s="31" t="s">
        <v>653</v>
      </c>
      <c r="D270" s="31" t="s">
        <v>664</v>
      </c>
    </row>
    <row r="271" spans="1:16">
      <c r="A271" s="16" t="s">
        <v>1128</v>
      </c>
      <c r="B271" s="17" t="s">
        <v>1129</v>
      </c>
      <c r="C271" s="31" t="s">
        <v>1026</v>
      </c>
      <c r="D271" s="31" t="s">
        <v>596</v>
      </c>
      <c r="E271" s="37" t="s">
        <v>597</v>
      </c>
      <c r="F271" s="4" t="s">
        <v>598</v>
      </c>
    </row>
    <row r="272" spans="1:16">
      <c r="A272" s="18" t="s">
        <v>1130</v>
      </c>
      <c r="B272" s="19" t="s">
        <v>1131</v>
      </c>
      <c r="C272" s="31" t="s">
        <v>1026</v>
      </c>
      <c r="D272" s="31" t="s">
        <v>596</v>
      </c>
      <c r="E272" s="37" t="s">
        <v>597</v>
      </c>
      <c r="F272" s="4" t="s">
        <v>604</v>
      </c>
    </row>
    <row r="273" spans="1:6">
      <c r="A273" s="16" t="s">
        <v>1132</v>
      </c>
      <c r="B273" s="17" t="s">
        <v>1133</v>
      </c>
      <c r="C273" s="31" t="s">
        <v>1026</v>
      </c>
      <c r="D273" s="31" t="s">
        <v>596</v>
      </c>
      <c r="E273" s="37" t="s">
        <v>597</v>
      </c>
      <c r="F273" s="4" t="s">
        <v>645</v>
      </c>
    </row>
    <row r="274" spans="1:6">
      <c r="A274" s="16" t="s">
        <v>1134</v>
      </c>
      <c r="B274" s="17" t="s">
        <v>1135</v>
      </c>
      <c r="C274" s="31" t="s">
        <v>1026</v>
      </c>
      <c r="D274" s="31" t="s">
        <v>599</v>
      </c>
      <c r="E274" s="31" t="s">
        <v>616</v>
      </c>
      <c r="F274" s="31" t="s">
        <v>617</v>
      </c>
    </row>
    <row r="275" spans="1:6">
      <c r="A275" s="16" t="s">
        <v>1136</v>
      </c>
      <c r="B275" s="17" t="s">
        <v>1137</v>
      </c>
      <c r="C275" s="31" t="s">
        <v>1026</v>
      </c>
      <c r="D275" s="31" t="s">
        <v>599</v>
      </c>
      <c r="E275" s="31" t="s">
        <v>613</v>
      </c>
      <c r="F275" s="4" t="s">
        <v>614</v>
      </c>
    </row>
    <row r="276" spans="1:6">
      <c r="A276" s="18" t="s">
        <v>1138</v>
      </c>
      <c r="B276" s="19" t="s">
        <v>1139</v>
      </c>
      <c r="C276" s="31" t="s">
        <v>1026</v>
      </c>
      <c r="D276" s="31" t="s">
        <v>596</v>
      </c>
      <c r="E276" s="31" t="s">
        <v>608</v>
      </c>
      <c r="F276" s="4" t="s">
        <v>609</v>
      </c>
    </row>
    <row r="277" spans="1:6" ht="15.75">
      <c r="A277" s="16" t="s">
        <v>1140</v>
      </c>
      <c r="B277" s="17" t="s">
        <v>1141</v>
      </c>
      <c r="C277" s="31" t="s">
        <v>1026</v>
      </c>
      <c r="D277" s="31" t="s">
        <v>1053</v>
      </c>
      <c r="E277" s="55" t="s">
        <v>599</v>
      </c>
      <c r="F277" s="37" t="s">
        <v>1070</v>
      </c>
    </row>
    <row r="278" spans="1:6">
      <c r="A278" s="18" t="s">
        <v>1142</v>
      </c>
      <c r="B278" s="19" t="s">
        <v>1143</v>
      </c>
      <c r="C278" s="31" t="s">
        <v>1026</v>
      </c>
      <c r="D278" s="31" t="s">
        <v>599</v>
      </c>
      <c r="E278" s="31" t="s">
        <v>616</v>
      </c>
      <c r="F278" s="31" t="s">
        <v>617</v>
      </c>
    </row>
    <row r="279" spans="1:6" ht="15.75">
      <c r="A279" s="16" t="s">
        <v>1144</v>
      </c>
      <c r="B279" s="17" t="s">
        <v>1145</v>
      </c>
      <c r="C279" s="31" t="s">
        <v>1026</v>
      </c>
      <c r="D279" s="31" t="s">
        <v>599</v>
      </c>
      <c r="E279" s="31" t="s">
        <v>611</v>
      </c>
      <c r="F279" s="32" t="s">
        <v>612</v>
      </c>
    </row>
    <row r="280" spans="1:6">
      <c r="A280" s="18" t="s">
        <v>1146</v>
      </c>
      <c r="B280" s="19" t="s">
        <v>1147</v>
      </c>
      <c r="C280" s="31" t="s">
        <v>1026</v>
      </c>
      <c r="D280" s="31" t="s">
        <v>599</v>
      </c>
      <c r="E280" s="31" t="s">
        <v>613</v>
      </c>
      <c r="F280" s="4" t="s">
        <v>614</v>
      </c>
    </row>
    <row r="281" spans="1:6" ht="15.75">
      <c r="A281" s="18" t="s">
        <v>1148</v>
      </c>
      <c r="B281" s="19" t="s">
        <v>1149</v>
      </c>
      <c r="C281" s="31" t="s">
        <v>1026</v>
      </c>
      <c r="D281" s="31" t="s">
        <v>1053</v>
      </c>
      <c r="E281" s="55" t="s">
        <v>599</v>
      </c>
      <c r="F281" s="37" t="s">
        <v>1071</v>
      </c>
    </row>
    <row r="282" spans="1:6">
      <c r="A282" s="16" t="s">
        <v>1150</v>
      </c>
      <c r="B282" s="17" t="s">
        <v>1151</v>
      </c>
      <c r="C282" s="31" t="s">
        <v>1026</v>
      </c>
      <c r="D282" s="31" t="s">
        <v>596</v>
      </c>
      <c r="E282" s="31" t="s">
        <v>608</v>
      </c>
      <c r="F282" s="4" t="s">
        <v>609</v>
      </c>
    </row>
    <row r="283" spans="1:6" ht="15.75">
      <c r="A283" s="16" t="s">
        <v>1152</v>
      </c>
      <c r="B283" s="17" t="s">
        <v>1153</v>
      </c>
      <c r="C283" s="31" t="s">
        <v>1026</v>
      </c>
      <c r="D283" s="31" t="s">
        <v>599</v>
      </c>
      <c r="E283" s="31" t="s">
        <v>611</v>
      </c>
      <c r="F283" s="32" t="s">
        <v>612</v>
      </c>
    </row>
    <row r="284" spans="1:6">
      <c r="A284" s="16" t="s">
        <v>1154</v>
      </c>
      <c r="B284" s="17" t="s">
        <v>1155</v>
      </c>
      <c r="C284" s="31" t="s">
        <v>1026</v>
      </c>
      <c r="D284" s="31" t="s">
        <v>596</v>
      </c>
      <c r="E284" s="31" t="s">
        <v>608</v>
      </c>
      <c r="F284" s="4" t="s">
        <v>1156</v>
      </c>
    </row>
    <row r="285" spans="1:6">
      <c r="A285" s="18" t="s">
        <v>1157</v>
      </c>
      <c r="B285" s="19" t="s">
        <v>1158</v>
      </c>
      <c r="C285" s="31" t="s">
        <v>1026</v>
      </c>
      <c r="D285" s="31" t="s">
        <v>701</v>
      </c>
      <c r="E285" s="4" t="s">
        <v>702</v>
      </c>
    </row>
    <row r="286" spans="1:6">
      <c r="A286" s="16" t="s">
        <v>1159</v>
      </c>
      <c r="B286" s="17" t="s">
        <v>1160</v>
      </c>
      <c r="C286" s="31" t="s">
        <v>1026</v>
      </c>
      <c r="D286" s="31" t="s">
        <v>701</v>
      </c>
      <c r="E286" s="4" t="s">
        <v>702</v>
      </c>
    </row>
    <row r="287" spans="1:6">
      <c r="A287" s="18" t="s">
        <v>1161</v>
      </c>
      <c r="B287" s="19" t="s">
        <v>1162</v>
      </c>
      <c r="C287" s="31" t="s">
        <v>1026</v>
      </c>
      <c r="D287" s="31" t="s">
        <v>701</v>
      </c>
      <c r="E287" s="4" t="s">
        <v>702</v>
      </c>
    </row>
    <row r="288" spans="1:6">
      <c r="A288" s="16" t="s">
        <v>1163</v>
      </c>
      <c r="B288" s="17" t="s">
        <v>1164</v>
      </c>
      <c r="C288" s="31" t="s">
        <v>1026</v>
      </c>
      <c r="D288" s="31" t="s">
        <v>663</v>
      </c>
    </row>
    <row r="289" spans="1:6">
      <c r="A289" s="16" t="s">
        <v>1165</v>
      </c>
      <c r="B289" s="17" t="s">
        <v>1166</v>
      </c>
      <c r="C289" s="31" t="s">
        <v>1026</v>
      </c>
      <c r="D289" s="31" t="s">
        <v>596</v>
      </c>
      <c r="E289" s="31" t="s">
        <v>608</v>
      </c>
      <c r="F289" s="4" t="s">
        <v>1156</v>
      </c>
    </row>
    <row r="290" spans="1:6">
      <c r="A290" s="18" t="s">
        <v>1167</v>
      </c>
      <c r="B290" s="19" t="s">
        <v>1168</v>
      </c>
      <c r="C290" s="31" t="s">
        <v>653</v>
      </c>
      <c r="D290" s="31" t="s">
        <v>1169</v>
      </c>
    </row>
    <row r="291" spans="1:6">
      <c r="A291" s="16" t="s">
        <v>1170</v>
      </c>
      <c r="B291" s="17" t="s">
        <v>1171</v>
      </c>
      <c r="C291" s="31" t="s">
        <v>714</v>
      </c>
      <c r="D291" s="31" t="s">
        <v>691</v>
      </c>
    </row>
    <row r="292" spans="1:6">
      <c r="A292" s="18" t="s">
        <v>1172</v>
      </c>
      <c r="B292" s="19" t="s">
        <v>1171</v>
      </c>
      <c r="C292" s="31" t="s">
        <v>714</v>
      </c>
      <c r="D292" s="31" t="s">
        <v>691</v>
      </c>
    </row>
    <row r="293" spans="1:6">
      <c r="A293" s="16" t="s">
        <v>1173</v>
      </c>
      <c r="B293" s="17" t="s">
        <v>1171</v>
      </c>
      <c r="C293" s="31" t="s">
        <v>714</v>
      </c>
      <c r="D293" s="31" t="s">
        <v>691</v>
      </c>
    </row>
    <row r="294" spans="1:6">
      <c r="A294" s="16" t="s">
        <v>1174</v>
      </c>
      <c r="B294" s="17" t="s">
        <v>1175</v>
      </c>
      <c r="C294" s="31" t="s">
        <v>1026</v>
      </c>
      <c r="D294" s="43" t="s">
        <v>656</v>
      </c>
      <c r="E294" s="43" t="s">
        <v>668</v>
      </c>
    </row>
    <row r="295" spans="1:6">
      <c r="A295" s="18" t="s">
        <v>1176</v>
      </c>
      <c r="B295" s="19" t="s">
        <v>1177</v>
      </c>
      <c r="C295" s="31" t="s">
        <v>1026</v>
      </c>
      <c r="D295" s="31" t="s">
        <v>596</v>
      </c>
      <c r="E295" s="37" t="s">
        <v>597</v>
      </c>
      <c r="F295" s="4" t="s">
        <v>639</v>
      </c>
    </row>
    <row r="296" spans="1:6">
      <c r="A296" s="16" t="s">
        <v>1178</v>
      </c>
      <c r="B296" s="17" t="s">
        <v>1179</v>
      </c>
      <c r="C296" s="31" t="s">
        <v>1026</v>
      </c>
      <c r="D296" s="31" t="s">
        <v>596</v>
      </c>
      <c r="E296" s="4" t="s">
        <v>605</v>
      </c>
      <c r="F296" s="4" t="s">
        <v>1180</v>
      </c>
    </row>
    <row r="297" spans="1:6">
      <c r="A297" s="18" t="s">
        <v>1181</v>
      </c>
      <c r="B297" s="19" t="s">
        <v>1182</v>
      </c>
      <c r="C297" s="31" t="s">
        <v>1026</v>
      </c>
      <c r="D297" s="31" t="s">
        <v>596</v>
      </c>
      <c r="E297" s="37" t="s">
        <v>597</v>
      </c>
      <c r="F297" s="4" t="s">
        <v>1183</v>
      </c>
    </row>
    <row r="298" spans="1:6">
      <c r="A298" s="16" t="s">
        <v>1184</v>
      </c>
      <c r="B298" s="17" t="s">
        <v>1185</v>
      </c>
      <c r="C298" s="31" t="s">
        <v>1092</v>
      </c>
      <c r="D298" s="4" t="s">
        <v>1186</v>
      </c>
    </row>
    <row r="299" spans="1:6">
      <c r="A299" s="18" t="s">
        <v>1187</v>
      </c>
      <c r="B299" s="19" t="s">
        <v>1188</v>
      </c>
      <c r="C299" s="31" t="s">
        <v>1026</v>
      </c>
      <c r="D299" s="31" t="s">
        <v>596</v>
      </c>
      <c r="E299" s="37" t="s">
        <v>597</v>
      </c>
      <c r="F299" s="4" t="s">
        <v>603</v>
      </c>
    </row>
    <row r="300" spans="1:6">
      <c r="A300" s="16" t="s">
        <v>1189</v>
      </c>
      <c r="B300" s="17" t="s">
        <v>1190</v>
      </c>
      <c r="C300" s="31" t="s">
        <v>1026</v>
      </c>
      <c r="D300" s="31" t="s">
        <v>596</v>
      </c>
      <c r="E300" s="37" t="s">
        <v>597</v>
      </c>
      <c r="F300" s="4" t="s">
        <v>603</v>
      </c>
    </row>
    <row r="301" spans="1:6">
      <c r="A301" s="18" t="s">
        <v>1191</v>
      </c>
      <c r="B301" s="19" t="s">
        <v>1192</v>
      </c>
      <c r="C301" s="31" t="s">
        <v>1026</v>
      </c>
      <c r="D301" s="31" t="s">
        <v>596</v>
      </c>
      <c r="E301" s="31" t="s">
        <v>605</v>
      </c>
      <c r="F301" s="4" t="s">
        <v>606</v>
      </c>
    </row>
    <row r="302" spans="1:6">
      <c r="A302" s="16" t="s">
        <v>1193</v>
      </c>
      <c r="B302" s="17" t="s">
        <v>1194</v>
      </c>
      <c r="C302" s="31" t="s">
        <v>1026</v>
      </c>
      <c r="D302" s="31" t="s">
        <v>599</v>
      </c>
      <c r="E302" s="31" t="s">
        <v>608</v>
      </c>
      <c r="F302" s="31" t="s">
        <v>618</v>
      </c>
    </row>
    <row r="303" spans="1:6">
      <c r="A303" s="18" t="s">
        <v>1195</v>
      </c>
      <c r="B303" s="19" t="s">
        <v>1196</v>
      </c>
      <c r="C303" s="31" t="s">
        <v>1026</v>
      </c>
      <c r="D303" s="31" t="s">
        <v>599</v>
      </c>
      <c r="E303" s="31" t="s">
        <v>616</v>
      </c>
      <c r="F303" s="31" t="s">
        <v>617</v>
      </c>
    </row>
    <row r="304" spans="1:6" ht="15.75">
      <c r="A304" s="16" t="s">
        <v>1197</v>
      </c>
      <c r="B304" s="17" t="s">
        <v>1198</v>
      </c>
      <c r="C304" s="31" t="s">
        <v>1026</v>
      </c>
      <c r="D304" s="31" t="s">
        <v>599</v>
      </c>
      <c r="E304" s="31" t="s">
        <v>611</v>
      </c>
      <c r="F304" s="32" t="s">
        <v>612</v>
      </c>
    </row>
    <row r="305" spans="1:6">
      <c r="A305" s="18" t="s">
        <v>1199</v>
      </c>
      <c r="B305" s="19" t="s">
        <v>1200</v>
      </c>
      <c r="C305" s="31" t="s">
        <v>1026</v>
      </c>
      <c r="D305" s="31" t="s">
        <v>596</v>
      </c>
      <c r="E305" s="4" t="s">
        <v>608</v>
      </c>
      <c r="F305" s="4" t="s">
        <v>1156</v>
      </c>
    </row>
    <row r="306" spans="1:6">
      <c r="A306" s="16" t="s">
        <v>1201</v>
      </c>
      <c r="B306" s="17" t="s">
        <v>1202</v>
      </c>
      <c r="C306" s="31" t="s">
        <v>1026</v>
      </c>
      <c r="D306" s="31" t="s">
        <v>596</v>
      </c>
      <c r="E306" s="37" t="s">
        <v>597</v>
      </c>
      <c r="F306" s="4" t="s">
        <v>669</v>
      </c>
    </row>
    <row r="307" spans="1:6">
      <c r="A307" s="18" t="s">
        <v>1203</v>
      </c>
      <c r="B307" s="19" t="s">
        <v>1204</v>
      </c>
      <c r="C307" s="31" t="s">
        <v>1026</v>
      </c>
      <c r="D307" s="31" t="s">
        <v>596</v>
      </c>
      <c r="E307" s="37" t="s">
        <v>597</v>
      </c>
      <c r="F307" s="4" t="s">
        <v>669</v>
      </c>
    </row>
    <row r="308" spans="1:6">
      <c r="A308" s="16" t="s">
        <v>1205</v>
      </c>
      <c r="B308" s="17" t="s">
        <v>1206</v>
      </c>
      <c r="C308" s="31" t="s">
        <v>653</v>
      </c>
      <c r="D308" s="31" t="s">
        <v>671</v>
      </c>
      <c r="E308" s="4" t="s">
        <v>1207</v>
      </c>
    </row>
    <row r="309" spans="1:6">
      <c r="A309" s="18" t="s">
        <v>1208</v>
      </c>
      <c r="B309" s="19" t="s">
        <v>1209</v>
      </c>
      <c r="C309" s="31" t="s">
        <v>1026</v>
      </c>
      <c r="D309" s="43" t="s">
        <v>656</v>
      </c>
      <c r="E309" s="43" t="s">
        <v>668</v>
      </c>
    </row>
    <row r="310" spans="1:6">
      <c r="A310" s="16" t="s">
        <v>1210</v>
      </c>
      <c r="B310" s="17" t="s">
        <v>1211</v>
      </c>
      <c r="C310" s="31" t="s">
        <v>1026</v>
      </c>
      <c r="D310" s="31" t="s">
        <v>596</v>
      </c>
      <c r="E310" s="37" t="s">
        <v>597</v>
      </c>
      <c r="F310" s="4" t="s">
        <v>670</v>
      </c>
    </row>
    <row r="311" spans="1:6">
      <c r="A311" s="18" t="s">
        <v>1212</v>
      </c>
      <c r="B311" s="19" t="s">
        <v>1213</v>
      </c>
      <c r="C311" s="31" t="s">
        <v>1026</v>
      </c>
      <c r="D311" s="43" t="s">
        <v>656</v>
      </c>
      <c r="E311" s="43" t="s">
        <v>668</v>
      </c>
    </row>
    <row r="312" spans="1:6">
      <c r="A312" s="16" t="s">
        <v>1214</v>
      </c>
      <c r="B312" s="17" t="s">
        <v>1215</v>
      </c>
      <c r="C312" s="31" t="s">
        <v>1026</v>
      </c>
      <c r="D312" s="43" t="s">
        <v>656</v>
      </c>
      <c r="E312" s="43" t="s">
        <v>668</v>
      </c>
    </row>
    <row r="313" spans="1:6">
      <c r="A313" s="18" t="s">
        <v>1216</v>
      </c>
      <c r="B313" s="19" t="s">
        <v>1217</v>
      </c>
      <c r="C313" s="4" t="s">
        <v>1218</v>
      </c>
      <c r="D313" s="4" t="s">
        <v>1219</v>
      </c>
    </row>
    <row r="314" spans="1:6">
      <c r="A314" s="16" t="s">
        <v>1220</v>
      </c>
      <c r="B314" s="17" t="s">
        <v>1221</v>
      </c>
      <c r="C314" s="4" t="s">
        <v>1218</v>
      </c>
      <c r="D314" s="4" t="s">
        <v>1219</v>
      </c>
    </row>
    <row r="315" spans="1:6">
      <c r="A315" s="18" t="s">
        <v>1222</v>
      </c>
      <c r="B315" s="19" t="s">
        <v>1223</v>
      </c>
      <c r="C315" s="4" t="s">
        <v>1218</v>
      </c>
      <c r="D315" s="4" t="s">
        <v>1219</v>
      </c>
      <c r="E315" s="31"/>
    </row>
    <row r="316" spans="1:6">
      <c r="A316" s="16" t="s">
        <v>1224</v>
      </c>
      <c r="B316" s="17" t="s">
        <v>1225</v>
      </c>
      <c r="C316" s="4" t="s">
        <v>1218</v>
      </c>
      <c r="D316" s="4" t="s">
        <v>1219</v>
      </c>
    </row>
    <row r="317" spans="1:6">
      <c r="A317" s="18" t="s">
        <v>1226</v>
      </c>
      <c r="B317" s="19" t="s">
        <v>1227</v>
      </c>
      <c r="C317" s="4" t="s">
        <v>1218</v>
      </c>
      <c r="D317" s="4" t="s">
        <v>1219</v>
      </c>
    </row>
    <row r="318" spans="1:6">
      <c r="A318" s="16" t="s">
        <v>1228</v>
      </c>
      <c r="B318" s="17" t="s">
        <v>1229</v>
      </c>
      <c r="C318" s="4" t="s">
        <v>1218</v>
      </c>
      <c r="D318" s="4" t="s">
        <v>1219</v>
      </c>
    </row>
    <row r="319" spans="1:6">
      <c r="A319" s="18" t="s">
        <v>1230</v>
      </c>
      <c r="B319" s="19" t="s">
        <v>1231</v>
      </c>
      <c r="C319" s="4" t="s">
        <v>1218</v>
      </c>
      <c r="D319" s="4" t="s">
        <v>1219</v>
      </c>
    </row>
    <row r="320" spans="1:6">
      <c r="A320" s="16" t="s">
        <v>1232</v>
      </c>
      <c r="B320" s="17" t="s">
        <v>1233</v>
      </c>
      <c r="C320" s="4" t="s">
        <v>1218</v>
      </c>
      <c r="D320" s="4" t="s">
        <v>1219</v>
      </c>
    </row>
    <row r="321" spans="1:4">
      <c r="A321" s="18" t="s">
        <v>1234</v>
      </c>
      <c r="B321" s="19" t="s">
        <v>1235</v>
      </c>
      <c r="C321" s="4" t="s">
        <v>1218</v>
      </c>
      <c r="D321" s="4" t="s">
        <v>1219</v>
      </c>
    </row>
    <row r="322" spans="1:4">
      <c r="A322" s="16" t="s">
        <v>1236</v>
      </c>
      <c r="B322" s="17" t="s">
        <v>1237</v>
      </c>
      <c r="C322" s="4" t="s">
        <v>1218</v>
      </c>
      <c r="D322" s="4" t="s">
        <v>1219</v>
      </c>
    </row>
    <row r="323" spans="1:4">
      <c r="A323" s="18" t="s">
        <v>1238</v>
      </c>
      <c r="B323" s="19" t="s">
        <v>1239</v>
      </c>
      <c r="C323" s="4" t="s">
        <v>1218</v>
      </c>
      <c r="D323" s="4" t="s">
        <v>1219</v>
      </c>
    </row>
    <row r="324" spans="1:4">
      <c r="A324" s="16" t="s">
        <v>1240</v>
      </c>
      <c r="B324" s="17" t="s">
        <v>1241</v>
      </c>
      <c r="C324" s="4" t="s">
        <v>1218</v>
      </c>
      <c r="D324" s="4" t="s">
        <v>1219</v>
      </c>
    </row>
    <row r="325" spans="1:4">
      <c r="A325" s="18" t="s">
        <v>1242</v>
      </c>
      <c r="B325" s="19" t="s">
        <v>1243</v>
      </c>
      <c r="C325" s="4" t="s">
        <v>1218</v>
      </c>
      <c r="D325" s="4" t="s">
        <v>1219</v>
      </c>
    </row>
    <row r="326" spans="1:4">
      <c r="A326" s="16" t="s">
        <v>1244</v>
      </c>
      <c r="B326" s="17" t="s">
        <v>1245</v>
      </c>
      <c r="C326" s="4" t="s">
        <v>1218</v>
      </c>
      <c r="D326" s="4" t="s">
        <v>1219</v>
      </c>
    </row>
    <row r="327" spans="1:4">
      <c r="A327" s="18" t="s">
        <v>1246</v>
      </c>
      <c r="B327" s="19" t="s">
        <v>1247</v>
      </c>
      <c r="C327" s="4" t="s">
        <v>1218</v>
      </c>
      <c r="D327" s="4" t="s">
        <v>1219</v>
      </c>
    </row>
    <row r="328" spans="1:4">
      <c r="A328" s="16" t="s">
        <v>1248</v>
      </c>
      <c r="B328" s="17" t="s">
        <v>1249</v>
      </c>
      <c r="C328" s="4" t="s">
        <v>1218</v>
      </c>
      <c r="D328" s="4" t="s">
        <v>1219</v>
      </c>
    </row>
    <row r="329" spans="1:4">
      <c r="A329" s="18" t="s">
        <v>1250</v>
      </c>
      <c r="B329" s="19" t="s">
        <v>1251</v>
      </c>
      <c r="C329" s="4" t="s">
        <v>1218</v>
      </c>
      <c r="D329" s="4" t="s">
        <v>1219</v>
      </c>
    </row>
    <row r="330" spans="1:4">
      <c r="A330" s="16" t="s">
        <v>1252</v>
      </c>
      <c r="B330" s="17" t="s">
        <v>1253</v>
      </c>
      <c r="C330" s="4" t="s">
        <v>1218</v>
      </c>
      <c r="D330" s="4" t="s">
        <v>1219</v>
      </c>
    </row>
    <row r="331" spans="1:4">
      <c r="A331" s="18" t="s">
        <v>1254</v>
      </c>
      <c r="B331" s="19" t="s">
        <v>1255</v>
      </c>
      <c r="C331" s="4" t="s">
        <v>1218</v>
      </c>
      <c r="D331" s="4" t="s">
        <v>1219</v>
      </c>
    </row>
    <row r="332" spans="1:4">
      <c r="A332" s="16" t="s">
        <v>1256</v>
      </c>
      <c r="B332" s="17" t="s">
        <v>1257</v>
      </c>
      <c r="C332" s="4" t="s">
        <v>1218</v>
      </c>
      <c r="D332" s="4" t="s">
        <v>1219</v>
      </c>
    </row>
    <row r="333" spans="1:4">
      <c r="A333" s="18" t="s">
        <v>1258</v>
      </c>
      <c r="B333" s="19" t="s">
        <v>1259</v>
      </c>
      <c r="C333" s="4" t="s">
        <v>1218</v>
      </c>
      <c r="D333" s="4" t="s">
        <v>1219</v>
      </c>
    </row>
    <row r="334" spans="1:4">
      <c r="A334" s="16" t="s">
        <v>1260</v>
      </c>
      <c r="B334" s="17" t="s">
        <v>1261</v>
      </c>
      <c r="C334" s="4" t="s">
        <v>1218</v>
      </c>
      <c r="D334" s="4" t="s">
        <v>1219</v>
      </c>
    </row>
    <row r="335" spans="1:4">
      <c r="A335" s="18" t="s">
        <v>1262</v>
      </c>
      <c r="B335" s="19" t="s">
        <v>1263</v>
      </c>
      <c r="C335" s="4" t="s">
        <v>1218</v>
      </c>
      <c r="D335" s="4" t="s">
        <v>1219</v>
      </c>
    </row>
    <row r="336" spans="1:4">
      <c r="A336" s="16" t="s">
        <v>1264</v>
      </c>
      <c r="B336" s="17" t="s">
        <v>1265</v>
      </c>
      <c r="C336" s="4" t="s">
        <v>1218</v>
      </c>
      <c r="D336" s="4" t="s">
        <v>1219</v>
      </c>
    </row>
    <row r="337" spans="1:4">
      <c r="A337" s="18" t="s">
        <v>1266</v>
      </c>
      <c r="B337" s="19" t="s">
        <v>1267</v>
      </c>
      <c r="C337" s="4" t="s">
        <v>1218</v>
      </c>
      <c r="D337" s="4" t="s">
        <v>1219</v>
      </c>
    </row>
    <row r="338" spans="1:4">
      <c r="A338" s="16" t="s">
        <v>1268</v>
      </c>
      <c r="B338" s="17" t="s">
        <v>1269</v>
      </c>
      <c r="C338" s="4" t="s">
        <v>1218</v>
      </c>
      <c r="D338" s="4" t="s">
        <v>1219</v>
      </c>
    </row>
    <row r="339" spans="1:4">
      <c r="A339" s="18" t="s">
        <v>1270</v>
      </c>
      <c r="B339" s="19" t="s">
        <v>1271</v>
      </c>
      <c r="C339" s="4" t="s">
        <v>1218</v>
      </c>
      <c r="D339" s="4" t="s">
        <v>1219</v>
      </c>
    </row>
    <row r="340" spans="1:4">
      <c r="A340" s="16" t="s">
        <v>1272</v>
      </c>
      <c r="B340" s="17" t="s">
        <v>1273</v>
      </c>
      <c r="C340" s="4" t="s">
        <v>1218</v>
      </c>
      <c r="D340" s="4" t="s">
        <v>1219</v>
      </c>
    </row>
    <row r="341" spans="1:4">
      <c r="A341" s="18" t="s">
        <v>1274</v>
      </c>
      <c r="B341" s="19" t="s">
        <v>1275</v>
      </c>
      <c r="C341" s="4" t="s">
        <v>1218</v>
      </c>
      <c r="D341" s="4" t="s">
        <v>1219</v>
      </c>
    </row>
    <row r="342" spans="1:4">
      <c r="A342" s="16" t="s">
        <v>1276</v>
      </c>
      <c r="B342" s="17" t="s">
        <v>1277</v>
      </c>
      <c r="C342" s="4" t="s">
        <v>1218</v>
      </c>
      <c r="D342" s="4" t="s">
        <v>1219</v>
      </c>
    </row>
    <row r="343" spans="1:4">
      <c r="A343" s="18" t="s">
        <v>1278</v>
      </c>
      <c r="B343" s="19" t="s">
        <v>1279</v>
      </c>
      <c r="C343" s="4" t="s">
        <v>1218</v>
      </c>
      <c r="D343" s="4" t="s">
        <v>1219</v>
      </c>
    </row>
    <row r="344" spans="1:4">
      <c r="A344" s="16" t="s">
        <v>1280</v>
      </c>
      <c r="B344" s="17" t="s">
        <v>1281</v>
      </c>
      <c r="C344" s="4" t="s">
        <v>1218</v>
      </c>
      <c r="D344" s="4" t="s">
        <v>1219</v>
      </c>
    </row>
    <row r="345" spans="1:4">
      <c r="A345" s="18" t="s">
        <v>1282</v>
      </c>
      <c r="B345" s="19" t="s">
        <v>1283</v>
      </c>
      <c r="C345" s="4" t="s">
        <v>1218</v>
      </c>
      <c r="D345" s="4" t="s">
        <v>1219</v>
      </c>
    </row>
    <row r="346" spans="1:4">
      <c r="A346" s="16" t="s">
        <v>1284</v>
      </c>
      <c r="B346" s="17" t="s">
        <v>1285</v>
      </c>
      <c r="C346" s="4" t="s">
        <v>1218</v>
      </c>
      <c r="D346" s="4" t="s">
        <v>1219</v>
      </c>
    </row>
    <row r="347" spans="1:4">
      <c r="A347" s="18" t="s">
        <v>1286</v>
      </c>
      <c r="B347" s="19" t="s">
        <v>1287</v>
      </c>
      <c r="C347" s="4" t="s">
        <v>1218</v>
      </c>
      <c r="D347" s="4" t="s">
        <v>1219</v>
      </c>
    </row>
    <row r="348" spans="1:4">
      <c r="A348" s="16" t="s">
        <v>1288</v>
      </c>
      <c r="B348" s="17" t="s">
        <v>1289</v>
      </c>
      <c r="C348" s="4" t="s">
        <v>1218</v>
      </c>
      <c r="D348" s="4" t="s">
        <v>1219</v>
      </c>
    </row>
    <row r="349" spans="1:4">
      <c r="A349" s="18" t="s">
        <v>1290</v>
      </c>
      <c r="B349" s="19" t="s">
        <v>1291</v>
      </c>
      <c r="C349" s="4" t="s">
        <v>1218</v>
      </c>
      <c r="D349" s="4" t="s">
        <v>1219</v>
      </c>
    </row>
    <row r="350" spans="1:4">
      <c r="A350" s="16" t="s">
        <v>1292</v>
      </c>
      <c r="B350" s="17" t="s">
        <v>1293</v>
      </c>
      <c r="C350" s="4" t="s">
        <v>1218</v>
      </c>
      <c r="D350" s="4" t="s">
        <v>1219</v>
      </c>
    </row>
    <row r="351" spans="1:4">
      <c r="A351" s="18" t="s">
        <v>1294</v>
      </c>
      <c r="B351" s="19" t="s">
        <v>1295</v>
      </c>
      <c r="C351" s="4" t="s">
        <v>1218</v>
      </c>
      <c r="D351" s="4" t="s">
        <v>1219</v>
      </c>
    </row>
    <row r="352" spans="1:4">
      <c r="A352" s="16" t="s">
        <v>1296</v>
      </c>
      <c r="B352" s="17" t="s">
        <v>1297</v>
      </c>
      <c r="C352" s="4" t="s">
        <v>1218</v>
      </c>
      <c r="D352" s="4" t="s">
        <v>1219</v>
      </c>
    </row>
    <row r="353" spans="1:6">
      <c r="A353" s="18" t="s">
        <v>1298</v>
      </c>
      <c r="B353" s="19" t="s">
        <v>1299</v>
      </c>
      <c r="C353" s="4" t="s">
        <v>1218</v>
      </c>
      <c r="D353" s="4" t="s">
        <v>1219</v>
      </c>
    </row>
    <row r="354" spans="1:6">
      <c r="A354" s="16" t="s">
        <v>1300</v>
      </c>
      <c r="B354" s="17" t="s">
        <v>1301</v>
      </c>
      <c r="C354" s="4" t="s">
        <v>1218</v>
      </c>
      <c r="D354" s="4" t="s">
        <v>1219</v>
      </c>
    </row>
    <row r="355" spans="1:6">
      <c r="A355" s="18" t="s">
        <v>1302</v>
      </c>
      <c r="B355" s="19" t="s">
        <v>1303</v>
      </c>
      <c r="C355" s="4" t="s">
        <v>1218</v>
      </c>
      <c r="D355" s="4" t="s">
        <v>1219</v>
      </c>
    </row>
    <row r="356" spans="1:6">
      <c r="A356" s="16" t="s">
        <v>1304</v>
      </c>
      <c r="B356" s="17" t="s">
        <v>1305</v>
      </c>
      <c r="C356" s="31" t="s">
        <v>1026</v>
      </c>
      <c r="D356" s="31" t="s">
        <v>701</v>
      </c>
      <c r="E356" s="4" t="s">
        <v>1306</v>
      </c>
    </row>
    <row r="357" spans="1:6">
      <c r="A357" s="18" t="s">
        <v>1307</v>
      </c>
      <c r="B357" s="19" t="s">
        <v>1308</v>
      </c>
      <c r="C357" s="31" t="s">
        <v>1026</v>
      </c>
      <c r="D357" s="43" t="s">
        <v>656</v>
      </c>
      <c r="E357" s="43" t="s">
        <v>668</v>
      </c>
    </row>
    <row r="358" spans="1:6">
      <c r="A358" s="16" t="s">
        <v>1309</v>
      </c>
      <c r="B358" s="17" t="s">
        <v>1310</v>
      </c>
      <c r="C358" s="31" t="s">
        <v>1084</v>
      </c>
      <c r="D358" s="4" t="s">
        <v>1311</v>
      </c>
    </row>
    <row r="359" spans="1:6">
      <c r="A359" s="18" t="s">
        <v>1312</v>
      </c>
      <c r="B359" s="19" t="s">
        <v>1313</v>
      </c>
      <c r="C359" s="31" t="s">
        <v>1026</v>
      </c>
      <c r="D359" s="31" t="s">
        <v>596</v>
      </c>
      <c r="E359" s="31" t="s">
        <v>597</v>
      </c>
      <c r="F359" s="4" t="s">
        <v>602</v>
      </c>
    </row>
    <row r="360" spans="1:6">
      <c r="A360" s="16" t="s">
        <v>1314</v>
      </c>
      <c r="B360" s="17" t="s">
        <v>1315</v>
      </c>
      <c r="C360" s="31" t="s">
        <v>1026</v>
      </c>
      <c r="D360" s="31" t="s">
        <v>596</v>
      </c>
      <c r="E360" s="31" t="s">
        <v>605</v>
      </c>
      <c r="F360" s="4" t="s">
        <v>607</v>
      </c>
    </row>
    <row r="361" spans="1:6">
      <c r="A361" s="18" t="s">
        <v>1316</v>
      </c>
      <c r="B361" s="19" t="s">
        <v>1317</v>
      </c>
      <c r="C361" s="31" t="s">
        <v>1026</v>
      </c>
      <c r="D361" s="31" t="s">
        <v>596</v>
      </c>
      <c r="E361" s="31" t="s">
        <v>597</v>
      </c>
      <c r="F361" s="4" t="s">
        <v>604</v>
      </c>
    </row>
    <row r="362" spans="1:6">
      <c r="A362" s="18" t="s">
        <v>1318</v>
      </c>
      <c r="B362" s="19" t="s">
        <v>1319</v>
      </c>
      <c r="C362" s="31" t="s">
        <v>1026</v>
      </c>
      <c r="D362" s="31" t="s">
        <v>656</v>
      </c>
      <c r="E362" s="31" t="s">
        <v>657</v>
      </c>
    </row>
    <row r="363" spans="1:6">
      <c r="A363" s="16" t="s">
        <v>1320</v>
      </c>
      <c r="B363" s="17" t="s">
        <v>1321</v>
      </c>
      <c r="C363" s="31" t="s">
        <v>1026</v>
      </c>
      <c r="D363" s="31" t="s">
        <v>599</v>
      </c>
      <c r="F363" s="4" t="s">
        <v>617</v>
      </c>
    </row>
    <row r="364" spans="1:6">
      <c r="A364" s="18" t="s">
        <v>1322</v>
      </c>
      <c r="B364" s="19" t="s">
        <v>1323</v>
      </c>
      <c r="C364" s="31" t="s">
        <v>1026</v>
      </c>
      <c r="D364" s="31" t="s">
        <v>599</v>
      </c>
      <c r="F364" s="4" t="s">
        <v>612</v>
      </c>
    </row>
    <row r="365" spans="1:6">
      <c r="A365" s="16" t="s">
        <v>1324</v>
      </c>
      <c r="B365" s="17" t="s">
        <v>1325</v>
      </c>
      <c r="C365" s="31" t="s">
        <v>1026</v>
      </c>
      <c r="D365" s="31" t="s">
        <v>596</v>
      </c>
      <c r="E365" s="31" t="s">
        <v>608</v>
      </c>
      <c r="F365" s="4" t="s">
        <v>609</v>
      </c>
    </row>
    <row r="366" spans="1:6">
      <c r="A366" s="18" t="s">
        <v>1326</v>
      </c>
      <c r="B366" s="19" t="s">
        <v>1327</v>
      </c>
      <c r="C366" s="31" t="s">
        <v>1026</v>
      </c>
      <c r="D366" s="31" t="s">
        <v>599</v>
      </c>
      <c r="F366" s="4" t="s">
        <v>614</v>
      </c>
    </row>
    <row r="367" spans="1:6">
      <c r="A367" s="16" t="s">
        <v>1328</v>
      </c>
      <c r="B367" s="17" t="s">
        <v>1329</v>
      </c>
      <c r="C367" s="31" t="s">
        <v>1026</v>
      </c>
      <c r="D367" s="31" t="s">
        <v>596</v>
      </c>
      <c r="E367" s="31" t="s">
        <v>597</v>
      </c>
      <c r="F367" s="4" t="s">
        <v>602</v>
      </c>
    </row>
    <row r="368" spans="1:6">
      <c r="A368" s="18" t="s">
        <v>1330</v>
      </c>
      <c r="B368" s="19" t="s">
        <v>1331</v>
      </c>
      <c r="C368" s="31" t="s">
        <v>1026</v>
      </c>
      <c r="D368" s="31" t="s">
        <v>596</v>
      </c>
      <c r="E368" s="31" t="s">
        <v>597</v>
      </c>
      <c r="F368" s="4" t="s">
        <v>604</v>
      </c>
    </row>
    <row r="369" spans="1:7">
      <c r="A369" s="16" t="s">
        <v>1332</v>
      </c>
      <c r="B369" s="17" t="s">
        <v>1333</v>
      </c>
      <c r="C369" s="31" t="s">
        <v>1026</v>
      </c>
      <c r="D369" s="31" t="s">
        <v>596</v>
      </c>
      <c r="E369" s="31" t="s">
        <v>605</v>
      </c>
      <c r="F369" s="4" t="s">
        <v>607</v>
      </c>
    </row>
    <row r="370" spans="1:7">
      <c r="A370" s="18" t="s">
        <v>1334</v>
      </c>
      <c r="B370" s="19" t="s">
        <v>1335</v>
      </c>
      <c r="C370" s="31" t="s">
        <v>653</v>
      </c>
      <c r="D370" s="31" t="s">
        <v>664</v>
      </c>
      <c r="E370" s="31" t="s">
        <v>638</v>
      </c>
      <c r="F370" s="31" t="s">
        <v>665</v>
      </c>
      <c r="G370" s="31" t="s">
        <v>665</v>
      </c>
    </row>
    <row r="371" spans="1:7">
      <c r="A371" s="16" t="s">
        <v>1336</v>
      </c>
      <c r="B371" s="17" t="s">
        <v>1337</v>
      </c>
      <c r="C371" s="31" t="s">
        <v>653</v>
      </c>
      <c r="D371" s="31" t="s">
        <v>671</v>
      </c>
      <c r="E371" s="4" t="s">
        <v>1207</v>
      </c>
    </row>
    <row r="372" spans="1:7">
      <c r="A372" s="18" t="s">
        <v>1338</v>
      </c>
      <c r="B372" s="19" t="s">
        <v>1339</v>
      </c>
      <c r="C372" s="31" t="s">
        <v>711</v>
      </c>
      <c r="D372" s="31" t="s">
        <v>712</v>
      </c>
      <c r="E372" s="31" t="s">
        <v>1089</v>
      </c>
    </row>
    <row r="373" spans="1:7">
      <c r="A373" s="16" t="s">
        <v>1340</v>
      </c>
      <c r="B373" s="17" t="s">
        <v>1341</v>
      </c>
      <c r="C373" s="31" t="s">
        <v>1026</v>
      </c>
      <c r="D373" s="31" t="s">
        <v>701</v>
      </c>
      <c r="E373" s="31" t="s">
        <v>1306</v>
      </c>
    </row>
    <row r="374" spans="1:7">
      <c r="A374" s="18" t="s">
        <v>1342</v>
      </c>
      <c r="B374" s="19" t="s">
        <v>1343</v>
      </c>
    </row>
    <row r="375" spans="1:7">
      <c r="A375" s="16" t="s">
        <v>1344</v>
      </c>
      <c r="B375" s="17" t="s">
        <v>1345</v>
      </c>
      <c r="C375" s="31" t="s">
        <v>653</v>
      </c>
      <c r="D375" s="31" t="s">
        <v>671</v>
      </c>
      <c r="E375" s="4" t="s">
        <v>1207</v>
      </c>
    </row>
    <row r="376" spans="1:7">
      <c r="A376" s="18" t="s">
        <v>1346</v>
      </c>
      <c r="B376" s="19" t="s">
        <v>1347</v>
      </c>
      <c r="C376" s="31" t="s">
        <v>1026</v>
      </c>
      <c r="D376" s="31" t="s">
        <v>596</v>
      </c>
      <c r="E376" s="31" t="s">
        <v>597</v>
      </c>
      <c r="F376" s="31" t="s">
        <v>693</v>
      </c>
    </row>
    <row r="377" spans="1:7">
      <c r="A377" s="18" t="s">
        <v>1348</v>
      </c>
      <c r="B377" s="19" t="s">
        <v>1349</v>
      </c>
      <c r="C377" s="31" t="s">
        <v>1026</v>
      </c>
    </row>
    <row r="378" spans="1:7">
      <c r="A378" s="16" t="s">
        <v>1350</v>
      </c>
      <c r="B378" s="17" t="s">
        <v>1351</v>
      </c>
      <c r="C378" s="31" t="s">
        <v>1026</v>
      </c>
      <c r="D378" s="43" t="s">
        <v>656</v>
      </c>
      <c r="E378" s="37" t="s">
        <v>657</v>
      </c>
    </row>
    <row r="379" spans="1:7">
      <c r="A379" s="18" t="s">
        <v>1352</v>
      </c>
      <c r="B379" s="19" t="s">
        <v>1339</v>
      </c>
      <c r="C379" s="31" t="s">
        <v>711</v>
      </c>
      <c r="D379" s="31" t="s">
        <v>712</v>
      </c>
      <c r="E379" s="31" t="s">
        <v>1089</v>
      </c>
    </row>
    <row r="380" spans="1:7">
      <c r="A380" s="16" t="s">
        <v>1353</v>
      </c>
      <c r="B380" s="17" t="s">
        <v>1354</v>
      </c>
      <c r="C380" s="31" t="s">
        <v>711</v>
      </c>
      <c r="D380" s="31" t="s">
        <v>712</v>
      </c>
      <c r="E380" s="31" t="s">
        <v>1089</v>
      </c>
    </row>
    <row r="381" spans="1:7">
      <c r="A381" s="18" t="s">
        <v>1355</v>
      </c>
      <c r="B381" s="19" t="s">
        <v>1356</v>
      </c>
      <c r="C381" s="31" t="s">
        <v>653</v>
      </c>
    </row>
    <row r="382" spans="1:7">
      <c r="A382" s="16" t="s">
        <v>1357</v>
      </c>
      <c r="B382" s="17" t="s">
        <v>1358</v>
      </c>
      <c r="C382" s="31" t="s">
        <v>1026</v>
      </c>
      <c r="D382" s="43" t="s">
        <v>656</v>
      </c>
      <c r="E382" s="4" t="s">
        <v>1359</v>
      </c>
    </row>
    <row r="383" spans="1:7">
      <c r="A383" s="18" t="s">
        <v>1360</v>
      </c>
      <c r="B383" s="19" t="s">
        <v>1361</v>
      </c>
      <c r="C383" s="31" t="s">
        <v>1026</v>
      </c>
      <c r="D383" s="43" t="s">
        <v>656</v>
      </c>
      <c r="E383" s="43" t="s">
        <v>668</v>
      </c>
    </row>
    <row r="384" spans="1:7">
      <c r="A384" s="16" t="s">
        <v>1362</v>
      </c>
      <c r="B384" s="17" t="s">
        <v>1363</v>
      </c>
      <c r="C384" s="31" t="s">
        <v>1026</v>
      </c>
      <c r="D384" s="43" t="s">
        <v>656</v>
      </c>
      <c r="E384" s="43" t="s">
        <v>668</v>
      </c>
    </row>
    <row r="385" spans="1:6">
      <c r="A385" s="18" t="s">
        <v>1364</v>
      </c>
      <c r="B385" s="19" t="s">
        <v>1365</v>
      </c>
      <c r="C385" s="31" t="s">
        <v>1026</v>
      </c>
      <c r="D385" s="43" t="s">
        <v>656</v>
      </c>
      <c r="E385" s="4" t="s">
        <v>1359</v>
      </c>
    </row>
    <row r="386" spans="1:6">
      <c r="A386" s="16" t="s">
        <v>1366</v>
      </c>
      <c r="B386" s="17" t="s">
        <v>1367</v>
      </c>
      <c r="C386" s="31" t="s">
        <v>1026</v>
      </c>
      <c r="D386" s="43" t="s">
        <v>656</v>
      </c>
      <c r="E386" s="4" t="s">
        <v>1359</v>
      </c>
    </row>
    <row r="387" spans="1:6">
      <c r="A387" s="18" t="s">
        <v>1368</v>
      </c>
      <c r="B387" s="19" t="s">
        <v>1369</v>
      </c>
      <c r="C387" s="4" t="s">
        <v>1218</v>
      </c>
      <c r="D387" s="4" t="s">
        <v>1219</v>
      </c>
    </row>
    <row r="388" spans="1:6">
      <c r="A388" s="16" t="s">
        <v>1370</v>
      </c>
      <c r="B388" s="17" t="s">
        <v>1371</v>
      </c>
      <c r="C388" s="31" t="s">
        <v>1026</v>
      </c>
      <c r="D388" s="43" t="s">
        <v>656</v>
      </c>
      <c r="E388" s="37" t="s">
        <v>657</v>
      </c>
    </row>
    <row r="389" spans="1:6">
      <c r="A389" s="18" t="s">
        <v>1372</v>
      </c>
      <c r="B389" s="19" t="s">
        <v>1373</v>
      </c>
      <c r="C389" s="31" t="s">
        <v>1026</v>
      </c>
      <c r="D389" s="43" t="s">
        <v>656</v>
      </c>
      <c r="E389" s="37" t="s">
        <v>657</v>
      </c>
    </row>
    <row r="390" spans="1:6">
      <c r="A390" s="16" t="s">
        <v>1374</v>
      </c>
      <c r="B390" s="17" t="s">
        <v>1375</v>
      </c>
      <c r="C390" s="31"/>
    </row>
    <row r="391" spans="1:6">
      <c r="A391" s="18" t="s">
        <v>1376</v>
      </c>
      <c r="B391" s="19" t="s">
        <v>1377</v>
      </c>
      <c r="C391" s="31"/>
    </row>
    <row r="392" spans="1:6">
      <c r="A392" s="16" t="s">
        <v>1378</v>
      </c>
      <c r="B392" s="17" t="s">
        <v>1379</v>
      </c>
      <c r="C392" s="4" t="s">
        <v>1218</v>
      </c>
      <c r="D392" s="4" t="s">
        <v>1219</v>
      </c>
    </row>
    <row r="393" spans="1:6">
      <c r="A393" s="18" t="s">
        <v>1380</v>
      </c>
      <c r="B393" s="19" t="s">
        <v>1381</v>
      </c>
      <c r="C393" s="31" t="s">
        <v>711</v>
      </c>
      <c r="D393" s="31" t="s">
        <v>712</v>
      </c>
      <c r="E393" s="31" t="s">
        <v>1089</v>
      </c>
    </row>
    <row r="394" spans="1:6">
      <c r="A394" s="16" t="s">
        <v>1382</v>
      </c>
      <c r="B394" s="17" t="s">
        <v>1383</v>
      </c>
      <c r="C394" s="31" t="s">
        <v>1026</v>
      </c>
      <c r="D394" s="31" t="s">
        <v>695</v>
      </c>
      <c r="E394" s="4" t="s">
        <v>1359</v>
      </c>
    </row>
    <row r="395" spans="1:6">
      <c r="A395" s="18" t="s">
        <v>1384</v>
      </c>
      <c r="B395" s="19" t="s">
        <v>1385</v>
      </c>
      <c r="C395" s="31" t="s">
        <v>1026</v>
      </c>
      <c r="D395" s="31" t="s">
        <v>596</v>
      </c>
      <c r="E395" s="31" t="s">
        <v>597</v>
      </c>
      <c r="F395" s="31" t="s">
        <v>598</v>
      </c>
    </row>
    <row r="396" spans="1:6">
      <c r="A396" s="16" t="s">
        <v>1386</v>
      </c>
      <c r="B396" s="17" t="s">
        <v>1387</v>
      </c>
      <c r="C396" s="31" t="s">
        <v>711</v>
      </c>
      <c r="D396" s="31" t="s">
        <v>712</v>
      </c>
      <c r="E396" s="31" t="s">
        <v>1089</v>
      </c>
    </row>
    <row r="397" spans="1:6">
      <c r="A397" s="18" t="s">
        <v>1388</v>
      </c>
      <c r="B397" s="19" t="s">
        <v>1389</v>
      </c>
      <c r="C397" s="31" t="s">
        <v>711</v>
      </c>
      <c r="D397" s="31" t="s">
        <v>712</v>
      </c>
      <c r="E397" s="31" t="s">
        <v>1089</v>
      </c>
    </row>
    <row r="398" spans="1:6">
      <c r="A398" s="16" t="s">
        <v>1390</v>
      </c>
      <c r="B398" s="17" t="s">
        <v>1391</v>
      </c>
      <c r="C398" s="31" t="s">
        <v>711</v>
      </c>
      <c r="D398" s="31" t="s">
        <v>712</v>
      </c>
      <c r="E398" s="31" t="s">
        <v>1089</v>
      </c>
    </row>
    <row r="399" spans="1:6">
      <c r="A399" s="18" t="s">
        <v>1392</v>
      </c>
      <c r="B399" s="19" t="s">
        <v>1393</v>
      </c>
      <c r="C399" s="31" t="s">
        <v>711</v>
      </c>
      <c r="D399" s="31" t="s">
        <v>712</v>
      </c>
      <c r="E399" s="31" t="s">
        <v>1089</v>
      </c>
    </row>
    <row r="400" spans="1:6">
      <c r="A400" s="16" t="s">
        <v>1394</v>
      </c>
      <c r="B400" s="17" t="s">
        <v>1395</v>
      </c>
      <c r="C400" s="31" t="s">
        <v>711</v>
      </c>
      <c r="D400" s="31" t="s">
        <v>712</v>
      </c>
      <c r="E400" s="31" t="s">
        <v>1089</v>
      </c>
    </row>
    <row r="401" spans="1:7">
      <c r="A401" s="18" t="s">
        <v>1396</v>
      </c>
      <c r="B401" s="19" t="s">
        <v>1397</v>
      </c>
      <c r="C401" s="31" t="s">
        <v>711</v>
      </c>
      <c r="D401" s="31" t="s">
        <v>712</v>
      </c>
      <c r="E401" s="31" t="s">
        <v>1089</v>
      </c>
    </row>
    <row r="402" spans="1:7">
      <c r="A402" s="16" t="s">
        <v>1398</v>
      </c>
      <c r="B402" s="17" t="s">
        <v>1399</v>
      </c>
      <c r="C402" s="31" t="s">
        <v>711</v>
      </c>
      <c r="D402" s="31" t="s">
        <v>712</v>
      </c>
      <c r="E402" s="31" t="s">
        <v>1089</v>
      </c>
    </row>
    <row r="403" spans="1:7">
      <c r="A403" s="18" t="s">
        <v>1400</v>
      </c>
      <c r="B403" s="19" t="s">
        <v>1401</v>
      </c>
      <c r="C403" s="31" t="s">
        <v>711</v>
      </c>
      <c r="D403" s="31" t="s">
        <v>712</v>
      </c>
      <c r="E403" s="31" t="s">
        <v>1089</v>
      </c>
    </row>
    <row r="404" spans="1:7">
      <c r="A404" s="16" t="s">
        <v>1402</v>
      </c>
      <c r="B404" s="17" t="s">
        <v>1403</v>
      </c>
      <c r="C404" s="31" t="s">
        <v>1026</v>
      </c>
      <c r="D404" s="31" t="s">
        <v>599</v>
      </c>
      <c r="E404" s="31" t="s">
        <v>613</v>
      </c>
      <c r="F404" s="4" t="s">
        <v>623</v>
      </c>
      <c r="G404" s="4" t="s">
        <v>623</v>
      </c>
    </row>
    <row r="405" spans="1:7">
      <c r="A405" s="18" t="s">
        <v>1404</v>
      </c>
      <c r="B405" s="19" t="s">
        <v>1405</v>
      </c>
      <c r="C405" s="4" t="s">
        <v>1218</v>
      </c>
      <c r="D405" s="4" t="s">
        <v>1219</v>
      </c>
    </row>
    <row r="406" spans="1:7">
      <c r="A406" s="16" t="s">
        <v>1406</v>
      </c>
      <c r="B406" s="17" t="s">
        <v>1407</v>
      </c>
      <c r="C406" s="31" t="s">
        <v>1026</v>
      </c>
      <c r="D406" s="43" t="s">
        <v>656</v>
      </c>
      <c r="E406" s="43" t="s">
        <v>668</v>
      </c>
    </row>
    <row r="407" spans="1:7">
      <c r="A407" s="18" t="s">
        <v>1408</v>
      </c>
      <c r="B407" s="19" t="s">
        <v>1409</v>
      </c>
      <c r="C407" s="31" t="s">
        <v>711</v>
      </c>
      <c r="D407" s="31" t="s">
        <v>712</v>
      </c>
      <c r="E407" s="31" t="s">
        <v>1089</v>
      </c>
    </row>
    <row r="408" spans="1:7">
      <c r="A408" s="16" t="s">
        <v>1410</v>
      </c>
      <c r="B408" s="17" t="s">
        <v>1411</v>
      </c>
      <c r="C408" s="31" t="s">
        <v>711</v>
      </c>
      <c r="D408" s="31" t="s">
        <v>712</v>
      </c>
      <c r="E408" s="31" t="s">
        <v>1089</v>
      </c>
    </row>
    <row r="409" spans="1:7">
      <c r="A409" s="18" t="s">
        <v>1412</v>
      </c>
      <c r="B409" s="19" t="s">
        <v>1413</v>
      </c>
      <c r="C409" s="4" t="s">
        <v>1218</v>
      </c>
      <c r="D409" s="4" t="s">
        <v>1219</v>
      </c>
    </row>
    <row r="410" spans="1:7">
      <c r="A410" s="16" t="s">
        <v>1414</v>
      </c>
      <c r="B410" s="17" t="s">
        <v>1415</v>
      </c>
      <c r="C410" s="4" t="s">
        <v>1218</v>
      </c>
      <c r="D410" s="4" t="s">
        <v>1219</v>
      </c>
    </row>
    <row r="411" spans="1:7">
      <c r="A411" s="18" t="s">
        <v>1416</v>
      </c>
      <c r="B411" s="19" t="s">
        <v>1417</v>
      </c>
      <c r="C411" s="4" t="s">
        <v>1218</v>
      </c>
      <c r="D411" s="4" t="s">
        <v>1219</v>
      </c>
    </row>
    <row r="412" spans="1:7">
      <c r="A412" s="16" t="s">
        <v>1418</v>
      </c>
      <c r="B412" s="17" t="s">
        <v>1419</v>
      </c>
      <c r="C412" s="4" t="s">
        <v>1218</v>
      </c>
      <c r="D412" s="4" t="s">
        <v>1219</v>
      </c>
    </row>
    <row r="413" spans="1:7">
      <c r="A413" s="18" t="s">
        <v>1420</v>
      </c>
      <c r="B413" s="19" t="s">
        <v>1421</v>
      </c>
      <c r="C413" s="4" t="s">
        <v>1218</v>
      </c>
      <c r="D413" s="4" t="s">
        <v>1219</v>
      </c>
    </row>
    <row r="414" spans="1:7">
      <c r="A414" s="16" t="s">
        <v>1422</v>
      </c>
      <c r="B414" s="17" t="s">
        <v>1423</v>
      </c>
      <c r="C414" s="4" t="s">
        <v>1218</v>
      </c>
      <c r="D414" s="4" t="s">
        <v>1219</v>
      </c>
    </row>
    <row r="415" spans="1:7">
      <c r="A415" s="18" t="s">
        <v>1424</v>
      </c>
      <c r="B415" s="19" t="s">
        <v>1425</v>
      </c>
      <c r="C415" s="4" t="s">
        <v>1218</v>
      </c>
      <c r="D415" s="4" t="s">
        <v>1219</v>
      </c>
    </row>
    <row r="416" spans="1:7">
      <c r="A416" s="16" t="s">
        <v>1426</v>
      </c>
      <c r="B416" s="17" t="s">
        <v>1427</v>
      </c>
      <c r="C416" s="4" t="s">
        <v>1218</v>
      </c>
      <c r="D416" s="4" t="s">
        <v>1219</v>
      </c>
    </row>
    <row r="417" spans="1:6">
      <c r="A417" s="18" t="s">
        <v>1428</v>
      </c>
      <c r="B417" s="19" t="s">
        <v>1429</v>
      </c>
      <c r="C417" s="4" t="s">
        <v>1218</v>
      </c>
      <c r="D417" s="4" t="s">
        <v>1219</v>
      </c>
    </row>
    <row r="418" spans="1:6">
      <c r="A418" s="16" t="s">
        <v>1430</v>
      </c>
      <c r="B418" s="17" t="s">
        <v>1431</v>
      </c>
      <c r="C418" s="4" t="s">
        <v>1218</v>
      </c>
      <c r="D418" s="4" t="s">
        <v>1219</v>
      </c>
    </row>
    <row r="419" spans="1:6">
      <c r="A419" s="18" t="s">
        <v>1432</v>
      </c>
      <c r="B419" s="19" t="s">
        <v>1433</v>
      </c>
      <c r="C419" s="4" t="s">
        <v>1218</v>
      </c>
      <c r="D419" s="4" t="s">
        <v>1219</v>
      </c>
    </row>
    <row r="420" spans="1:6">
      <c r="A420" s="16" t="s">
        <v>1434</v>
      </c>
      <c r="B420" s="17" t="s">
        <v>1435</v>
      </c>
      <c r="C420" s="4" t="s">
        <v>1218</v>
      </c>
      <c r="D420" s="4" t="s">
        <v>1219</v>
      </c>
    </row>
    <row r="421" spans="1:6">
      <c r="A421" s="18" t="s">
        <v>1436</v>
      </c>
      <c r="B421" s="19" t="s">
        <v>1437</v>
      </c>
      <c r="C421" s="31" t="s">
        <v>1026</v>
      </c>
      <c r="D421" s="31" t="s">
        <v>695</v>
      </c>
      <c r="E421" s="4" t="s">
        <v>1359</v>
      </c>
    </row>
    <row r="422" spans="1:6">
      <c r="A422" s="16" t="s">
        <v>1438</v>
      </c>
      <c r="B422" s="17" t="s">
        <v>1439</v>
      </c>
      <c r="C422" s="4" t="s">
        <v>1218</v>
      </c>
      <c r="D422" s="4" t="s">
        <v>1219</v>
      </c>
    </row>
    <row r="423" spans="1:6">
      <c r="A423" s="18" t="s">
        <v>1440</v>
      </c>
      <c r="B423" s="19" t="s">
        <v>1441</v>
      </c>
      <c r="C423" s="31" t="s">
        <v>1026</v>
      </c>
      <c r="D423" s="43" t="s">
        <v>656</v>
      </c>
      <c r="E423" s="4" t="s">
        <v>1359</v>
      </c>
    </row>
    <row r="424" spans="1:6">
      <c r="A424" s="16" t="s">
        <v>1442</v>
      </c>
      <c r="B424" s="17" t="s">
        <v>1443</v>
      </c>
      <c r="C424" s="31" t="s">
        <v>1026</v>
      </c>
      <c r="D424" s="31" t="s">
        <v>1053</v>
      </c>
      <c r="E424" s="31" t="s">
        <v>599</v>
      </c>
      <c r="F424" s="4" t="s">
        <v>1070</v>
      </c>
    </row>
  </sheetData>
  <autoFilter ref="A1:P424" xr:uid="{17670F94-6A7A-4F09-8A9C-1F5BD0BAFE9C}"/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638DA-A1EE-4D48-9E97-2ABA16ADA42C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B613D-7B8E-425E-B1B5-BD24E75E0C77}">
  <dimension ref="A1:G49"/>
  <sheetViews>
    <sheetView workbookViewId="0">
      <selection activeCell="I9" sqref="I9"/>
    </sheetView>
  </sheetViews>
  <sheetFormatPr defaultRowHeight="15"/>
  <cols>
    <col min="1" max="1" width="15.140625" bestFit="1" customWidth="1"/>
    <col min="2" max="2" width="2.28515625" bestFit="1" customWidth="1"/>
    <col min="3" max="3" width="11.42578125" bestFit="1" customWidth="1"/>
    <col min="4" max="4" width="1.5703125" bestFit="1" customWidth="1"/>
    <col min="5" max="5" width="17.42578125" bestFit="1" customWidth="1"/>
    <col min="6" max="6" width="2.28515625" bestFit="1" customWidth="1"/>
    <col min="7" max="7" width="11.42578125" bestFit="1" customWidth="1"/>
  </cols>
  <sheetData>
    <row r="1" spans="1:7">
      <c r="A1" s="44" t="s">
        <v>1444</v>
      </c>
      <c r="B1" s="45" t="s">
        <v>1445</v>
      </c>
      <c r="C1" s="45" t="s">
        <v>1445</v>
      </c>
      <c r="D1" s="45" t="s">
        <v>1445</v>
      </c>
      <c r="E1" s="46" t="s">
        <v>1446</v>
      </c>
      <c r="F1" s="45" t="s">
        <v>1445</v>
      </c>
      <c r="G1" s="14"/>
    </row>
    <row r="2" spans="1:7">
      <c r="A2" s="47" t="s">
        <v>1447</v>
      </c>
      <c r="B2" s="48" t="s">
        <v>1445</v>
      </c>
      <c r="C2" s="48" t="s">
        <v>1445</v>
      </c>
      <c r="D2" s="48" t="s">
        <v>1445</v>
      </c>
      <c r="E2" s="49" t="s">
        <v>1448</v>
      </c>
      <c r="F2" s="48" t="s">
        <v>1445</v>
      </c>
      <c r="G2" s="14"/>
    </row>
    <row r="3" spans="1:7">
      <c r="A3" s="50" t="s">
        <v>607</v>
      </c>
      <c r="B3" s="48">
        <v>2</v>
      </c>
      <c r="C3" s="49" t="s">
        <v>1447</v>
      </c>
      <c r="D3" s="49" t="s">
        <v>1445</v>
      </c>
      <c r="E3" s="48" t="s">
        <v>604</v>
      </c>
      <c r="F3" s="48">
        <v>3</v>
      </c>
      <c r="G3" s="46" t="s">
        <v>1448</v>
      </c>
    </row>
    <row r="4" spans="1:7">
      <c r="A4" s="50" t="s">
        <v>1449</v>
      </c>
      <c r="B4" s="48">
        <v>2</v>
      </c>
      <c r="C4" s="49" t="s">
        <v>1447</v>
      </c>
      <c r="D4" s="49" t="s">
        <v>1445</v>
      </c>
      <c r="E4" s="48" t="s">
        <v>610</v>
      </c>
      <c r="F4" s="48">
        <v>3</v>
      </c>
      <c r="G4" s="49" t="s">
        <v>1448</v>
      </c>
    </row>
    <row r="5" spans="1:7">
      <c r="A5" s="50" t="s">
        <v>624</v>
      </c>
      <c r="B5" s="48">
        <v>2</v>
      </c>
      <c r="C5" s="49" t="s">
        <v>1447</v>
      </c>
      <c r="D5" s="49" t="s">
        <v>1445</v>
      </c>
      <c r="E5" s="48" t="s">
        <v>622</v>
      </c>
      <c r="F5" s="48">
        <v>3</v>
      </c>
      <c r="G5" s="49" t="s">
        <v>1448</v>
      </c>
    </row>
    <row r="6" spans="1:7">
      <c r="A6" s="50" t="s">
        <v>632</v>
      </c>
      <c r="B6" s="48">
        <v>2</v>
      </c>
      <c r="C6" s="49" t="s">
        <v>1447</v>
      </c>
      <c r="D6" s="49" t="s">
        <v>1445</v>
      </c>
      <c r="E6" s="48" t="s">
        <v>643</v>
      </c>
      <c r="F6" s="48">
        <v>3</v>
      </c>
      <c r="G6" s="49" t="s">
        <v>1448</v>
      </c>
    </row>
    <row r="7" spans="1:7">
      <c r="A7" s="50" t="s">
        <v>628</v>
      </c>
      <c r="B7" s="48">
        <v>2</v>
      </c>
      <c r="C7" s="49" t="s">
        <v>1447</v>
      </c>
      <c r="D7" s="49" t="s">
        <v>1445</v>
      </c>
      <c r="E7" s="48" t="s">
        <v>627</v>
      </c>
      <c r="F7" s="48">
        <v>3</v>
      </c>
      <c r="G7" s="49" t="s">
        <v>1448</v>
      </c>
    </row>
    <row r="8" spans="1:7">
      <c r="A8" s="50" t="s">
        <v>1450</v>
      </c>
      <c r="B8" s="48">
        <v>2</v>
      </c>
      <c r="C8" s="49" t="s">
        <v>1447</v>
      </c>
      <c r="D8" s="49" t="s">
        <v>1445</v>
      </c>
      <c r="E8" s="48" t="s">
        <v>640</v>
      </c>
      <c r="F8" s="48">
        <v>3</v>
      </c>
      <c r="G8" s="49" t="s">
        <v>1448</v>
      </c>
    </row>
    <row r="9" spans="1:7">
      <c r="A9" s="50" t="s">
        <v>631</v>
      </c>
      <c r="B9" s="48">
        <v>2</v>
      </c>
      <c r="C9" s="49" t="s">
        <v>1447</v>
      </c>
      <c r="D9" s="49" t="s">
        <v>1445</v>
      </c>
      <c r="E9" s="48" t="s">
        <v>639</v>
      </c>
      <c r="F9" s="48">
        <v>3</v>
      </c>
      <c r="G9" s="49" t="s">
        <v>1448</v>
      </c>
    </row>
    <row r="10" spans="1:7">
      <c r="A10" s="50" t="s">
        <v>635</v>
      </c>
      <c r="B10" s="48">
        <v>2</v>
      </c>
      <c r="C10" s="49" t="s">
        <v>1447</v>
      </c>
      <c r="D10" s="49" t="s">
        <v>1445</v>
      </c>
      <c r="E10" s="48" t="s">
        <v>645</v>
      </c>
      <c r="F10" s="48">
        <v>3</v>
      </c>
      <c r="G10" s="49" t="s">
        <v>1448</v>
      </c>
    </row>
    <row r="11" spans="1:7">
      <c r="A11" s="50" t="s">
        <v>647</v>
      </c>
      <c r="B11" s="48">
        <v>2</v>
      </c>
      <c r="C11" s="49" t="s">
        <v>1447</v>
      </c>
      <c r="D11" s="49" t="s">
        <v>1445</v>
      </c>
      <c r="E11" s="48" t="s">
        <v>686</v>
      </c>
      <c r="F11" s="48">
        <v>3</v>
      </c>
      <c r="G11" s="49" t="s">
        <v>1448</v>
      </c>
    </row>
    <row r="12" spans="1:7">
      <c r="A12" s="50" t="s">
        <v>614</v>
      </c>
      <c r="B12" s="48">
        <v>2</v>
      </c>
      <c r="C12" s="49" t="s">
        <v>1447</v>
      </c>
      <c r="D12" s="49" t="s">
        <v>1445</v>
      </c>
      <c r="E12" s="48" t="s">
        <v>603</v>
      </c>
      <c r="F12" s="48">
        <v>3</v>
      </c>
      <c r="G12" s="49" t="s">
        <v>1448</v>
      </c>
    </row>
    <row r="13" spans="1:7">
      <c r="A13" s="50" t="s">
        <v>602</v>
      </c>
      <c r="B13" s="48">
        <v>2</v>
      </c>
      <c r="C13" s="49" t="s">
        <v>1447</v>
      </c>
      <c r="D13" s="49" t="s">
        <v>1445</v>
      </c>
      <c r="E13" s="48" t="s">
        <v>687</v>
      </c>
      <c r="F13" s="48">
        <v>3</v>
      </c>
      <c r="G13" s="49" t="s">
        <v>1448</v>
      </c>
    </row>
    <row r="14" spans="1:7">
      <c r="A14" s="50" t="s">
        <v>621</v>
      </c>
      <c r="B14" s="48">
        <v>2</v>
      </c>
      <c r="C14" s="49" t="s">
        <v>1447</v>
      </c>
      <c r="D14" s="49" t="s">
        <v>1445</v>
      </c>
      <c r="E14" s="48" t="s">
        <v>606</v>
      </c>
      <c r="F14" s="48">
        <v>3</v>
      </c>
      <c r="G14" s="49" t="s">
        <v>1448</v>
      </c>
    </row>
    <row r="15" spans="1:7">
      <c r="A15" s="50" t="s">
        <v>626</v>
      </c>
      <c r="B15" s="48">
        <v>2</v>
      </c>
      <c r="C15" s="49" t="s">
        <v>1447</v>
      </c>
      <c r="D15" s="49" t="s">
        <v>1445</v>
      </c>
      <c r="E15" s="48" t="s">
        <v>1180</v>
      </c>
      <c r="F15" s="48">
        <v>3</v>
      </c>
      <c r="G15" s="49" t="s">
        <v>1448</v>
      </c>
    </row>
    <row r="16" spans="1:7">
      <c r="A16" s="50" t="s">
        <v>620</v>
      </c>
      <c r="B16" s="48">
        <v>2</v>
      </c>
      <c r="C16" s="49" t="s">
        <v>1447</v>
      </c>
      <c r="D16" s="49" t="s">
        <v>1445</v>
      </c>
      <c r="E16" s="48" t="s">
        <v>618</v>
      </c>
      <c r="F16" s="48">
        <v>3</v>
      </c>
      <c r="G16" s="49" t="s">
        <v>1448</v>
      </c>
    </row>
    <row r="17" spans="1:7">
      <c r="A17" s="50" t="s">
        <v>598</v>
      </c>
      <c r="B17" s="48">
        <v>2</v>
      </c>
      <c r="C17" s="49" t="s">
        <v>1447</v>
      </c>
      <c r="D17" s="49" t="s">
        <v>1445</v>
      </c>
      <c r="E17" s="48" t="s">
        <v>667</v>
      </c>
      <c r="F17" s="48">
        <v>3</v>
      </c>
      <c r="G17" s="49" t="s">
        <v>1448</v>
      </c>
    </row>
    <row r="18" spans="1:7">
      <c r="A18" s="50" t="s">
        <v>615</v>
      </c>
      <c r="B18" s="48">
        <v>2</v>
      </c>
      <c r="C18" s="49" t="s">
        <v>1447</v>
      </c>
      <c r="D18" s="49" t="s">
        <v>1445</v>
      </c>
      <c r="E18" s="48" t="s">
        <v>609</v>
      </c>
      <c r="F18" s="48">
        <v>3</v>
      </c>
      <c r="G18" s="49" t="s">
        <v>1448</v>
      </c>
    </row>
    <row r="19" spans="1:7">
      <c r="A19" s="50" t="s">
        <v>612</v>
      </c>
      <c r="B19" s="48">
        <v>2</v>
      </c>
      <c r="C19" s="49" t="s">
        <v>1447</v>
      </c>
      <c r="D19" s="49" t="s">
        <v>1445</v>
      </c>
      <c r="E19" s="48" t="s">
        <v>688</v>
      </c>
      <c r="F19" s="48">
        <v>3</v>
      </c>
      <c r="G19" s="49" t="s">
        <v>1448</v>
      </c>
    </row>
    <row r="20" spans="1:7">
      <c r="A20" s="50" t="s">
        <v>661</v>
      </c>
      <c r="B20" s="48">
        <v>2</v>
      </c>
      <c r="C20" s="49" t="s">
        <v>1447</v>
      </c>
      <c r="D20" s="49" t="s">
        <v>1445</v>
      </c>
      <c r="E20" s="53" t="s">
        <v>649</v>
      </c>
      <c r="F20" s="53">
        <v>3</v>
      </c>
      <c r="G20" s="54" t="s">
        <v>1448</v>
      </c>
    </row>
    <row r="21" spans="1:7">
      <c r="A21" s="50" t="s">
        <v>660</v>
      </c>
      <c r="B21" s="48">
        <v>2</v>
      </c>
      <c r="C21" s="49" t="s">
        <v>1447</v>
      </c>
      <c r="D21" s="51"/>
      <c r="E21" s="14"/>
      <c r="F21" s="14"/>
      <c r="G21" s="14"/>
    </row>
    <row r="22" spans="1:7">
      <c r="A22" s="50" t="s">
        <v>633</v>
      </c>
      <c r="B22" s="48">
        <v>2</v>
      </c>
      <c r="C22" s="49" t="s">
        <v>1447</v>
      </c>
      <c r="D22" s="51"/>
      <c r="E22" s="14"/>
      <c r="F22" s="14"/>
      <c r="G22" s="14"/>
    </row>
    <row r="23" spans="1:7">
      <c r="A23" s="50" t="s">
        <v>625</v>
      </c>
      <c r="B23" s="48">
        <v>2</v>
      </c>
      <c r="C23" s="49" t="s">
        <v>1447</v>
      </c>
      <c r="D23" s="51"/>
      <c r="E23" s="14"/>
      <c r="F23" s="14"/>
      <c r="G23" s="14"/>
    </row>
    <row r="24" spans="1:7">
      <c r="A24" s="50" t="s">
        <v>630</v>
      </c>
      <c r="B24" s="48">
        <v>2</v>
      </c>
      <c r="C24" s="49" t="s">
        <v>1447</v>
      </c>
      <c r="D24" s="51"/>
      <c r="E24" s="14"/>
      <c r="F24" s="14"/>
      <c r="G24" s="14"/>
    </row>
    <row r="25" spans="1:7">
      <c r="A25" s="50" t="s">
        <v>619</v>
      </c>
      <c r="B25" s="48">
        <v>2</v>
      </c>
      <c r="C25" s="49" t="s">
        <v>1447</v>
      </c>
      <c r="D25" s="51"/>
      <c r="E25" s="14"/>
      <c r="F25" s="14"/>
      <c r="G25" s="14"/>
    </row>
    <row r="26" spans="1:7">
      <c r="A26" s="50" t="s">
        <v>617</v>
      </c>
      <c r="B26" s="48">
        <v>2</v>
      </c>
      <c r="C26" s="49" t="s">
        <v>1447</v>
      </c>
      <c r="D26" s="51"/>
      <c r="E26" s="14"/>
      <c r="F26" s="14"/>
      <c r="G26" s="14"/>
    </row>
    <row r="27" spans="1:7">
      <c r="A27" s="50" t="s">
        <v>623</v>
      </c>
      <c r="B27" s="48">
        <v>2</v>
      </c>
      <c r="C27" s="49" t="s">
        <v>1447</v>
      </c>
      <c r="D27" s="51"/>
      <c r="E27" s="14"/>
      <c r="F27" s="14"/>
      <c r="G27" s="14"/>
    </row>
    <row r="28" spans="1:7">
      <c r="A28" s="50" t="s">
        <v>629</v>
      </c>
      <c r="B28" s="48">
        <v>2</v>
      </c>
      <c r="C28" s="49" t="s">
        <v>1447</v>
      </c>
      <c r="D28" s="51"/>
      <c r="E28" s="14"/>
      <c r="F28" s="14"/>
      <c r="G28" s="14"/>
    </row>
    <row r="29" spans="1:7">
      <c r="A29" s="50" t="s">
        <v>1451</v>
      </c>
      <c r="B29" s="48">
        <v>2</v>
      </c>
      <c r="C29" s="49" t="s">
        <v>1447</v>
      </c>
      <c r="D29" s="51"/>
      <c r="E29" s="14"/>
      <c r="F29" s="14"/>
      <c r="G29" s="14"/>
    </row>
    <row r="30" spans="1:7">
      <c r="A30" s="50" t="s">
        <v>641</v>
      </c>
      <c r="B30" s="48">
        <v>2</v>
      </c>
      <c r="C30" s="49" t="s">
        <v>1447</v>
      </c>
      <c r="D30" s="51"/>
      <c r="E30" s="14"/>
      <c r="F30" s="14"/>
      <c r="G30" s="14"/>
    </row>
    <row r="31" spans="1:7">
      <c r="A31" s="50" t="s">
        <v>601</v>
      </c>
      <c r="B31" s="48">
        <v>2</v>
      </c>
      <c r="C31" s="49" t="s">
        <v>1447</v>
      </c>
      <c r="D31" s="51"/>
      <c r="E31" s="14"/>
      <c r="F31" s="14"/>
      <c r="G31" s="14"/>
    </row>
    <row r="32" spans="1:7">
      <c r="A32" s="48" t="s">
        <v>604</v>
      </c>
      <c r="B32" s="48">
        <v>3</v>
      </c>
      <c r="C32" s="46" t="s">
        <v>1448</v>
      </c>
    </row>
    <row r="33" spans="1:3">
      <c r="A33" s="48" t="s">
        <v>610</v>
      </c>
      <c r="B33" s="48">
        <v>3</v>
      </c>
      <c r="C33" s="49" t="s">
        <v>1448</v>
      </c>
    </row>
    <row r="34" spans="1:3">
      <c r="A34" s="48" t="s">
        <v>622</v>
      </c>
      <c r="B34" s="48">
        <v>3</v>
      </c>
      <c r="C34" s="49" t="s">
        <v>1448</v>
      </c>
    </row>
    <row r="35" spans="1:3">
      <c r="A35" s="48" t="s">
        <v>643</v>
      </c>
      <c r="B35" s="48">
        <v>3</v>
      </c>
      <c r="C35" s="49" t="s">
        <v>1448</v>
      </c>
    </row>
    <row r="36" spans="1:3">
      <c r="A36" s="48" t="s">
        <v>627</v>
      </c>
      <c r="B36" s="48">
        <v>3</v>
      </c>
      <c r="C36" s="49" t="s">
        <v>1448</v>
      </c>
    </row>
    <row r="37" spans="1:3">
      <c r="A37" s="48" t="s">
        <v>640</v>
      </c>
      <c r="B37" s="48">
        <v>3</v>
      </c>
      <c r="C37" s="49" t="s">
        <v>1448</v>
      </c>
    </row>
    <row r="38" spans="1:3">
      <c r="A38" s="48" t="s">
        <v>639</v>
      </c>
      <c r="B38" s="48">
        <v>3</v>
      </c>
      <c r="C38" s="49" t="s">
        <v>1448</v>
      </c>
    </row>
    <row r="39" spans="1:3">
      <c r="A39" s="48" t="s">
        <v>645</v>
      </c>
      <c r="B39" s="48">
        <v>3</v>
      </c>
      <c r="C39" s="49" t="s">
        <v>1448</v>
      </c>
    </row>
    <row r="40" spans="1:3">
      <c r="A40" s="48" t="s">
        <v>686</v>
      </c>
      <c r="B40" s="48">
        <v>3</v>
      </c>
      <c r="C40" s="49" t="s">
        <v>1448</v>
      </c>
    </row>
    <row r="41" spans="1:3">
      <c r="A41" s="48" t="s">
        <v>603</v>
      </c>
      <c r="B41" s="48">
        <v>3</v>
      </c>
      <c r="C41" s="49" t="s">
        <v>1448</v>
      </c>
    </row>
    <row r="42" spans="1:3">
      <c r="A42" s="48" t="s">
        <v>687</v>
      </c>
      <c r="B42" s="48">
        <v>3</v>
      </c>
      <c r="C42" s="49" t="s">
        <v>1448</v>
      </c>
    </row>
    <row r="43" spans="1:3">
      <c r="A43" s="48" t="s">
        <v>606</v>
      </c>
      <c r="B43" s="48">
        <v>3</v>
      </c>
      <c r="C43" s="49" t="s">
        <v>1448</v>
      </c>
    </row>
    <row r="44" spans="1:3">
      <c r="A44" s="48" t="s">
        <v>1180</v>
      </c>
      <c r="B44" s="48">
        <v>3</v>
      </c>
      <c r="C44" s="49" t="s">
        <v>1448</v>
      </c>
    </row>
    <row r="45" spans="1:3">
      <c r="A45" s="48" t="s">
        <v>618</v>
      </c>
      <c r="B45" s="48">
        <v>3</v>
      </c>
      <c r="C45" s="49" t="s">
        <v>1448</v>
      </c>
    </row>
    <row r="46" spans="1:3">
      <c r="A46" s="48" t="s">
        <v>667</v>
      </c>
      <c r="B46" s="48">
        <v>3</v>
      </c>
      <c r="C46" s="49" t="s">
        <v>1448</v>
      </c>
    </row>
    <row r="47" spans="1:3">
      <c r="A47" s="48" t="s">
        <v>609</v>
      </c>
      <c r="B47" s="48">
        <v>3</v>
      </c>
      <c r="C47" s="49" t="s">
        <v>1448</v>
      </c>
    </row>
    <row r="48" spans="1:3">
      <c r="A48" s="48" t="s">
        <v>688</v>
      </c>
      <c r="B48" s="48">
        <v>3</v>
      </c>
      <c r="C48" s="49" t="s">
        <v>1448</v>
      </c>
    </row>
    <row r="49" spans="1:3">
      <c r="A49" s="53" t="s">
        <v>649</v>
      </c>
      <c r="B49" s="53">
        <v>3</v>
      </c>
      <c r="C49" s="54" t="s">
        <v>1448</v>
      </c>
    </row>
  </sheetData>
  <autoFilter ref="A2:G2" xr:uid="{BD6B613D-7B8E-425E-B1B5-BD24E75E0C77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D731A-188B-4E5C-A632-B4BC0043D332}">
  <sheetPr filterMode="1"/>
  <dimension ref="A1:K442"/>
  <sheetViews>
    <sheetView topLeftCell="A409" workbookViewId="0">
      <selection activeCell="A382" sqref="A382:B429"/>
    </sheetView>
  </sheetViews>
  <sheetFormatPr defaultRowHeight="15"/>
  <cols>
    <col min="1" max="1" width="10.140625" bestFit="1" customWidth="1"/>
    <col min="2" max="2" width="93.42578125" bestFit="1" customWidth="1"/>
    <col min="3" max="3" width="13.42578125" customWidth="1"/>
  </cols>
  <sheetData>
    <row r="1" spans="1:11">
      <c r="A1" t="s">
        <v>0</v>
      </c>
      <c r="B1" t="s">
        <v>1</v>
      </c>
      <c r="C1" t="s">
        <v>2</v>
      </c>
    </row>
    <row r="2" spans="1:11">
      <c r="A2" s="56" t="s">
        <v>1452</v>
      </c>
      <c r="B2" s="57" t="s">
        <v>505</v>
      </c>
      <c r="C2" s="9" t="str">
        <f>IFERROR(VLOOKUP(A2,'Product Categories for FG'!A:A,1,FALSE),"missing")</f>
        <v>missing</v>
      </c>
      <c r="D2" s="9"/>
      <c r="E2" s="9"/>
      <c r="F2" s="9"/>
      <c r="G2" s="9"/>
      <c r="H2" s="9"/>
      <c r="I2" s="9"/>
      <c r="J2" s="9"/>
      <c r="K2" s="10"/>
    </row>
    <row r="3" spans="1:11">
      <c r="A3" s="16" t="s">
        <v>1453</v>
      </c>
      <c r="B3" s="17" t="s">
        <v>1454</v>
      </c>
      <c r="C3" s="9" t="str">
        <f>IFERROR(VLOOKUP(A3,'Product Categories for FG'!A:A,1,FALSE),"missing")</f>
        <v>missing</v>
      </c>
      <c r="D3" s="7"/>
      <c r="E3" s="7"/>
      <c r="F3" s="7"/>
      <c r="G3" s="7"/>
      <c r="H3" s="7"/>
      <c r="I3" s="7"/>
      <c r="J3" s="7"/>
      <c r="K3" s="11"/>
    </row>
    <row r="4" spans="1:11" hidden="1">
      <c r="A4" s="18" t="s">
        <v>3</v>
      </c>
      <c r="B4" s="19" t="s">
        <v>4</v>
      </c>
      <c r="C4" s="9" t="str">
        <f>IFERROR(VLOOKUP(A4,'Product Categories for FG'!A:A,1,FALSE),"missing")</f>
        <v>2511-0001</v>
      </c>
      <c r="D4" s="8"/>
      <c r="E4" s="8"/>
      <c r="F4" s="8"/>
      <c r="G4" s="8"/>
      <c r="H4" s="8"/>
      <c r="I4" s="8"/>
      <c r="J4" s="8"/>
      <c r="K4" s="12"/>
    </row>
    <row r="5" spans="1:11" hidden="1">
      <c r="A5" s="16" t="s">
        <v>5</v>
      </c>
      <c r="B5" s="17" t="s">
        <v>6</v>
      </c>
      <c r="C5" s="9" t="str">
        <f>IFERROR(VLOOKUP(A5,'Product Categories for FG'!A:A,1,FALSE),"missing")</f>
        <v>2511-0002</v>
      </c>
      <c r="D5" s="7"/>
      <c r="E5" s="7"/>
      <c r="F5" s="7"/>
      <c r="G5" s="7"/>
      <c r="H5" s="7"/>
      <c r="I5" s="7"/>
      <c r="J5" s="7"/>
      <c r="K5" s="11"/>
    </row>
    <row r="6" spans="1:11" hidden="1">
      <c r="A6" s="18" t="s">
        <v>7</v>
      </c>
      <c r="B6" s="19" t="s">
        <v>8</v>
      </c>
      <c r="C6" s="9" t="str">
        <f>IFERROR(VLOOKUP(A6,'Product Categories for FG'!A:A,1,FALSE),"missing")</f>
        <v>2511-0003</v>
      </c>
      <c r="D6" s="8"/>
      <c r="E6" s="8"/>
      <c r="F6" s="8"/>
      <c r="G6" s="8"/>
      <c r="H6" s="8"/>
      <c r="I6" s="8"/>
      <c r="J6" s="8"/>
      <c r="K6" s="12"/>
    </row>
    <row r="7" spans="1:11" hidden="1">
      <c r="A7" s="16" t="s">
        <v>9</v>
      </c>
      <c r="B7" s="17" t="s">
        <v>10</v>
      </c>
      <c r="C7" s="9" t="str">
        <f>IFERROR(VLOOKUP(A7,'Product Categories for FG'!A:A,1,FALSE),"missing")</f>
        <v>2511-0004</v>
      </c>
      <c r="D7" s="7"/>
      <c r="E7" s="7"/>
      <c r="F7" s="7"/>
      <c r="G7" s="7"/>
      <c r="H7" s="7"/>
      <c r="I7" s="7"/>
      <c r="J7" s="7"/>
      <c r="K7" s="11"/>
    </row>
    <row r="8" spans="1:11" hidden="1">
      <c r="A8" s="18" t="s">
        <v>11</v>
      </c>
      <c r="B8" s="19" t="s">
        <v>12</v>
      </c>
      <c r="C8" s="9" t="str">
        <f>IFERROR(VLOOKUP(A8,'Product Categories for FG'!A:A,1,FALSE),"missing")</f>
        <v>2511-0005</v>
      </c>
      <c r="D8" s="8"/>
      <c r="E8" s="8"/>
      <c r="F8" s="8"/>
      <c r="G8" s="8"/>
      <c r="H8" s="8"/>
      <c r="I8" s="8"/>
      <c r="J8" s="8"/>
      <c r="K8" s="12"/>
    </row>
    <row r="9" spans="1:11" hidden="1">
      <c r="A9" s="16" t="s">
        <v>13</v>
      </c>
      <c r="B9" s="17" t="s">
        <v>14</v>
      </c>
      <c r="C9" s="9" t="str">
        <f>IFERROR(VLOOKUP(A9,'Product Categories for FG'!A:A,1,FALSE),"missing")</f>
        <v>2511-0006</v>
      </c>
      <c r="D9" s="7"/>
      <c r="E9" s="7"/>
      <c r="F9" s="7"/>
      <c r="G9" s="7"/>
      <c r="H9" s="7"/>
      <c r="I9" s="7"/>
      <c r="J9" s="7"/>
      <c r="K9" s="11"/>
    </row>
    <row r="10" spans="1:11" hidden="1">
      <c r="A10" s="18" t="s">
        <v>15</v>
      </c>
      <c r="B10" s="19" t="s">
        <v>16</v>
      </c>
      <c r="C10" s="9" t="str">
        <f>IFERROR(VLOOKUP(A10,'Product Categories for FG'!A:A,1,FALSE),"missing")</f>
        <v>2511-0007</v>
      </c>
      <c r="D10" s="8"/>
      <c r="E10" s="8"/>
      <c r="F10" s="8"/>
      <c r="G10" s="8"/>
      <c r="H10" s="8"/>
      <c r="I10" s="8"/>
      <c r="J10" s="8"/>
      <c r="K10" s="12"/>
    </row>
    <row r="11" spans="1:11" hidden="1">
      <c r="A11" s="16" t="s">
        <v>17</v>
      </c>
      <c r="B11" s="17" t="s">
        <v>18</v>
      </c>
      <c r="C11" s="9" t="str">
        <f>IFERROR(VLOOKUP(A11,'Product Categories for FG'!A:A,1,FALSE),"missing")</f>
        <v>2511-0008</v>
      </c>
      <c r="D11" s="7"/>
      <c r="E11" s="7"/>
      <c r="F11" s="7"/>
      <c r="G11" s="7"/>
      <c r="H11" s="7"/>
      <c r="I11" s="7"/>
      <c r="J11" s="7"/>
      <c r="K11" s="11"/>
    </row>
    <row r="12" spans="1:11" hidden="1">
      <c r="A12" s="18" t="s">
        <v>19</v>
      </c>
      <c r="B12" s="19" t="s">
        <v>20</v>
      </c>
      <c r="C12" s="9" t="str">
        <f>IFERROR(VLOOKUP(A12,'Product Categories for FG'!A:A,1,FALSE),"missing")</f>
        <v>2511-0009</v>
      </c>
      <c r="D12" s="8"/>
      <c r="E12" s="8"/>
      <c r="F12" s="8"/>
      <c r="G12" s="8"/>
      <c r="H12" s="8"/>
      <c r="I12" s="8"/>
      <c r="J12" s="8"/>
      <c r="K12" s="12"/>
    </row>
    <row r="13" spans="1:11" hidden="1">
      <c r="A13" s="16" t="s">
        <v>21</v>
      </c>
      <c r="B13" s="17" t="s">
        <v>22</v>
      </c>
      <c r="C13" s="9" t="str">
        <f>IFERROR(VLOOKUP(A13,'Product Categories for FG'!A:A,1,FALSE),"missing")</f>
        <v>2511-0010</v>
      </c>
      <c r="D13" s="7"/>
      <c r="E13" s="7"/>
      <c r="F13" s="7"/>
      <c r="G13" s="7"/>
      <c r="H13" s="7"/>
      <c r="I13" s="7"/>
      <c r="J13" s="7"/>
      <c r="K13" s="11"/>
    </row>
    <row r="14" spans="1:11" hidden="1">
      <c r="A14" s="18" t="s">
        <v>23</v>
      </c>
      <c r="B14" s="19" t="s">
        <v>24</v>
      </c>
      <c r="C14" s="9" t="str">
        <f>IFERROR(VLOOKUP(A14,'Product Categories for FG'!A:A,1,FALSE),"missing")</f>
        <v>2511-0011</v>
      </c>
      <c r="D14" s="8"/>
      <c r="E14" s="8"/>
      <c r="F14" s="8"/>
      <c r="G14" s="8"/>
      <c r="H14" s="8"/>
      <c r="I14" s="8"/>
      <c r="J14" s="8"/>
      <c r="K14" s="12"/>
    </row>
    <row r="15" spans="1:11" hidden="1">
      <c r="A15" s="16" t="s">
        <v>25</v>
      </c>
      <c r="B15" s="17" t="s">
        <v>26</v>
      </c>
      <c r="C15" s="9" t="str">
        <f>IFERROR(VLOOKUP(A15,'Product Categories for FG'!A:A,1,FALSE),"missing")</f>
        <v>2511-0012</v>
      </c>
      <c r="D15" s="7"/>
      <c r="E15" s="7"/>
      <c r="F15" s="7"/>
      <c r="G15" s="7"/>
      <c r="H15" s="7"/>
      <c r="I15" s="7"/>
      <c r="J15" s="7"/>
      <c r="K15" s="11"/>
    </row>
    <row r="16" spans="1:11" hidden="1">
      <c r="A16" s="18" t="s">
        <v>27</v>
      </c>
      <c r="B16" s="19" t="s">
        <v>28</v>
      </c>
      <c r="C16" s="9" t="str">
        <f>IFERROR(VLOOKUP(A16,'Product Categories for FG'!A:A,1,FALSE),"missing")</f>
        <v>2511-0013</v>
      </c>
      <c r="D16" s="8"/>
      <c r="E16" s="8"/>
      <c r="F16" s="8"/>
      <c r="G16" s="8"/>
      <c r="H16" s="8"/>
      <c r="I16" s="8"/>
      <c r="J16" s="8"/>
      <c r="K16" s="12"/>
    </row>
    <row r="17" spans="1:11" hidden="1">
      <c r="A17" s="16" t="s">
        <v>29</v>
      </c>
      <c r="B17" s="17" t="s">
        <v>30</v>
      </c>
      <c r="C17" s="9" t="str">
        <f>IFERROR(VLOOKUP(A17,'Product Categories for FG'!A:A,1,FALSE),"missing")</f>
        <v>2511-0014</v>
      </c>
      <c r="D17" s="7"/>
      <c r="E17" s="7"/>
      <c r="F17" s="7"/>
      <c r="G17" s="7"/>
      <c r="H17" s="7"/>
      <c r="I17" s="7"/>
      <c r="J17" s="7"/>
      <c r="K17" s="11"/>
    </row>
    <row r="18" spans="1:11" hidden="1">
      <c r="A18" s="18" t="s">
        <v>31</v>
      </c>
      <c r="B18" s="19" t="s">
        <v>1455</v>
      </c>
      <c r="C18" s="9" t="str">
        <f>IFERROR(VLOOKUP(A18,'Product Categories for FG'!A:A,1,FALSE),"missing")</f>
        <v>2511-0015</v>
      </c>
      <c r="D18" s="8"/>
      <c r="E18" s="8"/>
      <c r="F18" s="8"/>
      <c r="G18" s="8"/>
      <c r="H18" s="8"/>
      <c r="I18" s="8"/>
      <c r="J18" s="8"/>
      <c r="K18" s="12"/>
    </row>
    <row r="19" spans="1:11" hidden="1">
      <c r="A19" s="16" t="s">
        <v>33</v>
      </c>
      <c r="B19" s="17" t="s">
        <v>34</v>
      </c>
      <c r="C19" s="9" t="str">
        <f>IFERROR(VLOOKUP(A19,'Product Categories for FG'!A:A,1,FALSE),"missing")</f>
        <v>2511-0016</v>
      </c>
      <c r="D19" s="7"/>
      <c r="E19" s="7"/>
      <c r="F19" s="7"/>
      <c r="G19" s="7"/>
      <c r="H19" s="7"/>
      <c r="I19" s="7"/>
      <c r="J19" s="7"/>
      <c r="K19" s="11"/>
    </row>
    <row r="20" spans="1:11" hidden="1">
      <c r="A20" s="18" t="s">
        <v>35</v>
      </c>
      <c r="B20" s="19" t="s">
        <v>1456</v>
      </c>
      <c r="C20" s="9" t="str">
        <f>IFERROR(VLOOKUP(A20,'Product Categories for FG'!A:A,1,FALSE),"missing")</f>
        <v>2511-0017</v>
      </c>
      <c r="D20" s="8"/>
      <c r="E20" s="8"/>
      <c r="F20" s="8"/>
      <c r="G20" s="8"/>
      <c r="H20" s="8"/>
      <c r="I20" s="8"/>
      <c r="J20" s="8"/>
      <c r="K20" s="12"/>
    </row>
    <row r="21" spans="1:11" hidden="1">
      <c r="A21" s="16" t="s">
        <v>37</v>
      </c>
      <c r="B21" s="17" t="s">
        <v>1457</v>
      </c>
      <c r="C21" s="9" t="str">
        <f>IFERROR(VLOOKUP(A21,'Product Categories for FG'!A:A,1,FALSE),"missing")</f>
        <v>2511-0018</v>
      </c>
      <c r="D21" s="7"/>
      <c r="E21" s="7"/>
      <c r="F21" s="7"/>
      <c r="G21" s="7"/>
      <c r="H21" s="7"/>
      <c r="I21" s="7"/>
      <c r="J21" s="7"/>
      <c r="K21" s="11"/>
    </row>
    <row r="22" spans="1:11" hidden="1">
      <c r="A22" s="18" t="s">
        <v>39</v>
      </c>
      <c r="B22" s="19" t="s">
        <v>1458</v>
      </c>
      <c r="C22" s="9" t="str">
        <f>IFERROR(VLOOKUP(A22,'Product Categories for FG'!A:A,1,FALSE),"missing")</f>
        <v>2511-0019</v>
      </c>
      <c r="D22" s="8"/>
      <c r="E22" s="8"/>
      <c r="F22" s="8"/>
      <c r="G22" s="8"/>
      <c r="H22" s="8"/>
      <c r="I22" s="8"/>
      <c r="J22" s="8"/>
      <c r="K22" s="12"/>
    </row>
    <row r="23" spans="1:11" hidden="1">
      <c r="A23" s="16" t="s">
        <v>41</v>
      </c>
      <c r="B23" s="17" t="s">
        <v>1459</v>
      </c>
      <c r="C23" s="9" t="str">
        <f>IFERROR(VLOOKUP(A23,'Product Categories for FG'!A:A,1,FALSE),"missing")</f>
        <v>2511-0020</v>
      </c>
      <c r="D23" s="7"/>
      <c r="E23" s="7"/>
      <c r="F23" s="7"/>
      <c r="G23" s="7"/>
      <c r="H23" s="7"/>
      <c r="I23" s="7"/>
      <c r="J23" s="7"/>
      <c r="K23" s="11"/>
    </row>
    <row r="24" spans="1:11" hidden="1">
      <c r="A24" s="18" t="s">
        <v>43</v>
      </c>
      <c r="B24" s="19" t="s">
        <v>44</v>
      </c>
      <c r="C24" s="9" t="str">
        <f>IFERROR(VLOOKUP(A24,'Product Categories for FG'!A:A,1,FALSE),"missing")</f>
        <v>2511-0021</v>
      </c>
      <c r="D24" s="8"/>
      <c r="E24" s="8"/>
      <c r="F24" s="8"/>
      <c r="G24" s="8"/>
      <c r="H24" s="8"/>
      <c r="I24" s="8"/>
      <c r="J24" s="8"/>
      <c r="K24" s="12"/>
    </row>
    <row r="25" spans="1:11" hidden="1">
      <c r="A25" s="16" t="s">
        <v>45</v>
      </c>
      <c r="B25" s="17" t="s">
        <v>46</v>
      </c>
      <c r="C25" s="9" t="str">
        <f>IFERROR(VLOOKUP(A25,'Product Categories for FG'!A:A,1,FALSE),"missing")</f>
        <v>2511-0022</v>
      </c>
      <c r="D25" s="7"/>
      <c r="E25" s="7"/>
      <c r="F25" s="7"/>
      <c r="G25" s="7"/>
      <c r="H25" s="7"/>
      <c r="I25" s="7"/>
      <c r="J25" s="7"/>
      <c r="K25" s="11"/>
    </row>
    <row r="26" spans="1:11" hidden="1">
      <c r="A26" s="18" t="s">
        <v>47</v>
      </c>
      <c r="B26" s="19" t="s">
        <v>48</v>
      </c>
      <c r="C26" s="9" t="str">
        <f>IFERROR(VLOOKUP(A26,'Product Categories for FG'!A:A,1,FALSE),"missing")</f>
        <v>2511-0023</v>
      </c>
      <c r="D26" s="8"/>
      <c r="E26" s="8"/>
      <c r="F26" s="8"/>
      <c r="G26" s="8"/>
      <c r="H26" s="8"/>
      <c r="I26" s="8"/>
      <c r="J26" s="8"/>
      <c r="K26" s="12"/>
    </row>
    <row r="27" spans="1:11" hidden="1">
      <c r="A27" s="16" t="s">
        <v>49</v>
      </c>
      <c r="B27" s="17" t="s">
        <v>50</v>
      </c>
      <c r="C27" s="9" t="str">
        <f>IFERROR(VLOOKUP(A27,'Product Categories for FG'!A:A,1,FALSE),"missing")</f>
        <v>2511-0024</v>
      </c>
      <c r="D27" s="7"/>
      <c r="E27" s="7"/>
      <c r="F27" s="7"/>
      <c r="G27" s="7"/>
      <c r="H27" s="7"/>
      <c r="I27" s="7"/>
      <c r="J27" s="7"/>
      <c r="K27" s="11"/>
    </row>
    <row r="28" spans="1:11" hidden="1">
      <c r="A28" s="18" t="s">
        <v>51</v>
      </c>
      <c r="B28" s="19" t="s">
        <v>52</v>
      </c>
      <c r="C28" s="9" t="str">
        <f>IFERROR(VLOOKUP(A28,'Product Categories for FG'!A:A,1,FALSE),"missing")</f>
        <v>2511-0025</v>
      </c>
      <c r="D28" s="8"/>
      <c r="E28" s="8"/>
      <c r="F28" s="8"/>
      <c r="G28" s="8"/>
      <c r="H28" s="8"/>
      <c r="I28" s="8"/>
      <c r="J28" s="8"/>
      <c r="K28" s="12"/>
    </row>
    <row r="29" spans="1:11" hidden="1">
      <c r="A29" s="16" t="s">
        <v>53</v>
      </c>
      <c r="B29" s="17" t="s">
        <v>54</v>
      </c>
      <c r="C29" s="9" t="str">
        <f>IFERROR(VLOOKUP(A29,'Product Categories for FG'!A:A,1,FALSE),"missing")</f>
        <v>2511-0026</v>
      </c>
      <c r="D29" s="7"/>
      <c r="E29" s="7"/>
      <c r="F29" s="7"/>
      <c r="G29" s="7"/>
      <c r="H29" s="7"/>
      <c r="I29" s="7"/>
      <c r="J29" s="7"/>
      <c r="K29" s="11"/>
    </row>
    <row r="30" spans="1:11" hidden="1">
      <c r="A30" s="18" t="s">
        <v>55</v>
      </c>
      <c r="B30" s="19" t="s">
        <v>56</v>
      </c>
      <c r="C30" s="9" t="str">
        <f>IFERROR(VLOOKUP(A30,'Product Categories for FG'!A:A,1,FALSE),"missing")</f>
        <v>2511-0027</v>
      </c>
      <c r="D30" s="8"/>
      <c r="E30" s="8"/>
      <c r="F30" s="8"/>
      <c r="G30" s="8"/>
      <c r="H30" s="8"/>
      <c r="I30" s="8"/>
      <c r="J30" s="8"/>
      <c r="K30" s="12"/>
    </row>
    <row r="31" spans="1:11" hidden="1">
      <c r="A31" s="16" t="s">
        <v>57</v>
      </c>
      <c r="B31" s="17" t="s">
        <v>58</v>
      </c>
      <c r="C31" s="9" t="str">
        <f>IFERROR(VLOOKUP(A31,'Product Categories for FG'!A:A,1,FALSE),"missing")</f>
        <v>2511-0028</v>
      </c>
      <c r="D31" s="7"/>
      <c r="E31" s="7"/>
      <c r="F31" s="7"/>
      <c r="G31" s="7"/>
      <c r="H31" s="7"/>
      <c r="I31" s="7"/>
      <c r="J31" s="7"/>
      <c r="K31" s="11"/>
    </row>
    <row r="32" spans="1:11" hidden="1">
      <c r="A32" s="18" t="s">
        <v>59</v>
      </c>
      <c r="B32" s="19" t="s">
        <v>60</v>
      </c>
      <c r="C32" s="9" t="str">
        <f>IFERROR(VLOOKUP(A32,'Product Categories for FG'!A:A,1,FALSE),"missing")</f>
        <v>2511-0029</v>
      </c>
      <c r="D32" s="8"/>
      <c r="E32" s="8"/>
      <c r="F32" s="8"/>
      <c r="G32" s="8"/>
      <c r="H32" s="8"/>
      <c r="I32" s="8"/>
      <c r="J32" s="8"/>
      <c r="K32" s="12"/>
    </row>
    <row r="33" spans="1:11" hidden="1">
      <c r="A33" s="16" t="s">
        <v>61</v>
      </c>
      <c r="B33" s="17" t="s">
        <v>62</v>
      </c>
      <c r="C33" s="9" t="str">
        <f>IFERROR(VLOOKUP(A33,'Product Categories for FG'!A:A,1,FALSE),"missing")</f>
        <v>2511-0030</v>
      </c>
      <c r="D33" s="7"/>
      <c r="E33" s="7"/>
      <c r="F33" s="7"/>
      <c r="G33" s="7"/>
      <c r="H33" s="7"/>
      <c r="I33" s="7"/>
      <c r="J33" s="7"/>
      <c r="K33" s="11"/>
    </row>
    <row r="34" spans="1:11" hidden="1">
      <c r="A34" s="18" t="s">
        <v>63</v>
      </c>
      <c r="B34" s="19" t="s">
        <v>64</v>
      </c>
      <c r="C34" s="9" t="str">
        <f>IFERROR(VLOOKUP(A34,'Product Categories for FG'!A:A,1,FALSE),"missing")</f>
        <v>2511-0031</v>
      </c>
      <c r="D34" s="8"/>
      <c r="E34" s="8"/>
      <c r="F34" s="8"/>
      <c r="G34" s="8"/>
      <c r="H34" s="8"/>
      <c r="I34" s="8"/>
      <c r="J34" s="8"/>
      <c r="K34" s="12"/>
    </row>
    <row r="35" spans="1:11" hidden="1">
      <c r="A35" s="16" t="s">
        <v>65</v>
      </c>
      <c r="B35" s="17" t="s">
        <v>66</v>
      </c>
      <c r="C35" s="9" t="str">
        <f>IFERROR(VLOOKUP(A35,'Product Categories for FG'!A:A,1,FALSE),"missing")</f>
        <v>2511-0032</v>
      </c>
      <c r="D35" s="7"/>
      <c r="E35" s="7"/>
      <c r="F35" s="7"/>
      <c r="G35" s="7"/>
      <c r="H35" s="7"/>
      <c r="I35" s="7"/>
      <c r="J35" s="7"/>
      <c r="K35" s="11"/>
    </row>
    <row r="36" spans="1:11" hidden="1">
      <c r="A36" s="18" t="s">
        <v>67</v>
      </c>
      <c r="B36" s="19" t="s">
        <v>68</v>
      </c>
      <c r="C36" s="9" t="str">
        <f>IFERROR(VLOOKUP(A36,'Product Categories for FG'!A:A,1,FALSE),"missing")</f>
        <v>2511-0033</v>
      </c>
      <c r="D36" s="8"/>
      <c r="E36" s="8"/>
      <c r="F36" s="8"/>
      <c r="G36" s="8"/>
      <c r="H36" s="8"/>
      <c r="I36" s="8"/>
      <c r="J36" s="8"/>
      <c r="K36" s="12"/>
    </row>
    <row r="37" spans="1:11" hidden="1">
      <c r="A37" s="16" t="s">
        <v>69</v>
      </c>
      <c r="B37" s="17" t="s">
        <v>70</v>
      </c>
      <c r="C37" s="9" t="str">
        <f>IFERROR(VLOOKUP(A37,'Product Categories for FG'!A:A,1,FALSE),"missing")</f>
        <v>2511-0034</v>
      </c>
      <c r="D37" s="7"/>
      <c r="E37" s="7"/>
      <c r="F37" s="7"/>
      <c r="G37" s="7"/>
      <c r="H37" s="7"/>
      <c r="I37" s="7"/>
      <c r="J37" s="7"/>
      <c r="K37" s="11"/>
    </row>
    <row r="38" spans="1:11" hidden="1">
      <c r="A38" s="18" t="s">
        <v>71</v>
      </c>
      <c r="B38" s="19" t="s">
        <v>72</v>
      </c>
      <c r="C38" s="9" t="str">
        <f>IFERROR(VLOOKUP(A38,'Product Categories for FG'!A:A,1,FALSE),"missing")</f>
        <v>2511-0035</v>
      </c>
      <c r="D38" s="8"/>
      <c r="E38" s="8"/>
      <c r="F38" s="8"/>
      <c r="G38" s="8"/>
      <c r="H38" s="8"/>
      <c r="I38" s="8"/>
      <c r="J38" s="8"/>
      <c r="K38" s="12"/>
    </row>
    <row r="39" spans="1:11" hidden="1">
      <c r="A39" s="16" t="s">
        <v>73</v>
      </c>
      <c r="B39" s="17" t="s">
        <v>74</v>
      </c>
      <c r="C39" s="9" t="str">
        <f>IFERROR(VLOOKUP(A39,'Product Categories for FG'!A:A,1,FALSE),"missing")</f>
        <v>2511-0036</v>
      </c>
      <c r="D39" s="7"/>
      <c r="E39" s="7"/>
      <c r="F39" s="7"/>
      <c r="G39" s="7"/>
      <c r="H39" s="7"/>
      <c r="I39" s="7"/>
      <c r="J39" s="7"/>
      <c r="K39" s="11"/>
    </row>
    <row r="40" spans="1:11" hidden="1">
      <c r="A40" s="18" t="s">
        <v>75</v>
      </c>
      <c r="B40" s="19" t="s">
        <v>76</v>
      </c>
      <c r="C40" s="9" t="str">
        <f>IFERROR(VLOOKUP(A40,'Product Categories for FG'!A:A,1,FALSE),"missing")</f>
        <v>2511-0037</v>
      </c>
      <c r="D40" s="8"/>
      <c r="E40" s="8"/>
      <c r="F40" s="8"/>
      <c r="G40" s="8"/>
      <c r="H40" s="8"/>
      <c r="I40" s="8"/>
      <c r="J40" s="8"/>
      <c r="K40" s="12"/>
    </row>
    <row r="41" spans="1:11" hidden="1">
      <c r="A41" s="16" t="s">
        <v>77</v>
      </c>
      <c r="B41" s="17" t="s">
        <v>78</v>
      </c>
      <c r="C41" s="9" t="str">
        <f>IFERROR(VLOOKUP(A41,'Product Categories for FG'!A:A,1,FALSE),"missing")</f>
        <v>2511-0038</v>
      </c>
      <c r="D41" s="7"/>
      <c r="E41" s="7"/>
      <c r="F41" s="7"/>
      <c r="G41" s="7"/>
      <c r="H41" s="7"/>
      <c r="I41" s="7"/>
      <c r="J41" s="7"/>
      <c r="K41" s="11"/>
    </row>
    <row r="42" spans="1:11" hidden="1">
      <c r="A42" s="18" t="s">
        <v>79</v>
      </c>
      <c r="B42" s="19" t="s">
        <v>80</v>
      </c>
      <c r="C42" s="9" t="str">
        <f>IFERROR(VLOOKUP(A42,'Product Categories for FG'!A:A,1,FALSE),"missing")</f>
        <v>2511-0039</v>
      </c>
      <c r="D42" s="8"/>
      <c r="E42" s="8"/>
      <c r="F42" s="8"/>
      <c r="G42" s="8"/>
      <c r="H42" s="8"/>
      <c r="I42" s="8"/>
      <c r="J42" s="8"/>
      <c r="K42" s="12"/>
    </row>
    <row r="43" spans="1:11" hidden="1">
      <c r="A43" s="16" t="s">
        <v>81</v>
      </c>
      <c r="B43" s="17" t="s">
        <v>82</v>
      </c>
      <c r="C43" s="9" t="str">
        <f>IFERROR(VLOOKUP(A43,'Product Categories for FG'!A:A,1,FALSE),"missing")</f>
        <v>2511-0040</v>
      </c>
      <c r="D43" s="7"/>
      <c r="E43" s="7"/>
      <c r="F43" s="7"/>
      <c r="G43" s="7"/>
      <c r="H43" s="7"/>
      <c r="I43" s="7"/>
      <c r="J43" s="7"/>
      <c r="K43" s="11"/>
    </row>
    <row r="44" spans="1:11" hidden="1">
      <c r="A44" s="18" t="s">
        <v>83</v>
      </c>
      <c r="B44" s="19" t="s">
        <v>84</v>
      </c>
      <c r="C44" s="9" t="str">
        <f>IFERROR(VLOOKUP(A44,'Product Categories for FG'!A:A,1,FALSE),"missing")</f>
        <v>2511-0041</v>
      </c>
      <c r="D44" s="8"/>
      <c r="E44" s="8"/>
      <c r="F44" s="8"/>
      <c r="G44" s="8"/>
      <c r="H44" s="8"/>
      <c r="I44" s="8"/>
      <c r="J44" s="8"/>
      <c r="K44" s="12"/>
    </row>
    <row r="45" spans="1:11" hidden="1">
      <c r="A45" s="16" t="s">
        <v>85</v>
      </c>
      <c r="B45" s="17" t="s">
        <v>86</v>
      </c>
      <c r="C45" s="9" t="str">
        <f>IFERROR(VLOOKUP(A45,'Product Categories for FG'!A:A,1,FALSE),"missing")</f>
        <v>2511-0042</v>
      </c>
      <c r="D45" s="7"/>
      <c r="E45" s="7"/>
      <c r="F45" s="7"/>
      <c r="G45" s="7"/>
      <c r="H45" s="7"/>
      <c r="I45" s="7"/>
      <c r="J45" s="7"/>
      <c r="K45" s="11"/>
    </row>
    <row r="46" spans="1:11" hidden="1">
      <c r="A46" s="18" t="s">
        <v>87</v>
      </c>
      <c r="B46" s="19" t="s">
        <v>88</v>
      </c>
      <c r="C46" s="9" t="str">
        <f>IFERROR(VLOOKUP(A46,'Product Categories for FG'!A:A,1,FALSE),"missing")</f>
        <v>2511-0043</v>
      </c>
      <c r="D46" s="8"/>
      <c r="E46" s="8"/>
      <c r="F46" s="8"/>
      <c r="G46" s="8"/>
      <c r="H46" s="8"/>
      <c r="I46" s="8"/>
      <c r="J46" s="8"/>
      <c r="K46" s="12"/>
    </row>
    <row r="47" spans="1:11" hidden="1">
      <c r="A47" s="16" t="s">
        <v>89</v>
      </c>
      <c r="B47" s="17" t="s">
        <v>90</v>
      </c>
      <c r="C47" s="9" t="str">
        <f>IFERROR(VLOOKUP(A47,'Product Categories for FG'!A:A,1,FALSE),"missing")</f>
        <v>2511-0044</v>
      </c>
      <c r="D47" s="7"/>
      <c r="E47" s="7"/>
      <c r="F47" s="7"/>
      <c r="G47" s="7"/>
      <c r="H47" s="7"/>
      <c r="I47" s="7"/>
      <c r="J47" s="7"/>
      <c r="K47" s="11"/>
    </row>
    <row r="48" spans="1:11" hidden="1">
      <c r="A48" s="18" t="s">
        <v>91</v>
      </c>
      <c r="B48" s="19" t="s">
        <v>92</v>
      </c>
      <c r="C48" s="9" t="str">
        <f>IFERROR(VLOOKUP(A48,'Product Categories for FG'!A:A,1,FALSE),"missing")</f>
        <v>2511-0045</v>
      </c>
      <c r="D48" s="8"/>
      <c r="E48" s="8"/>
      <c r="F48" s="8"/>
      <c r="G48" s="8"/>
      <c r="H48" s="8"/>
      <c r="I48" s="8"/>
      <c r="J48" s="8"/>
      <c r="K48" s="12"/>
    </row>
    <row r="49" spans="1:11" hidden="1">
      <c r="A49" s="16" t="s">
        <v>93</v>
      </c>
      <c r="B49" s="17" t="s">
        <v>94</v>
      </c>
      <c r="C49" s="9" t="str">
        <f>IFERROR(VLOOKUP(A49,'Product Categories for FG'!A:A,1,FALSE),"missing")</f>
        <v>2511-0046</v>
      </c>
      <c r="D49" s="7"/>
      <c r="E49" s="7"/>
      <c r="F49" s="7"/>
      <c r="G49" s="7"/>
      <c r="H49" s="7"/>
      <c r="I49" s="7"/>
      <c r="J49" s="7"/>
      <c r="K49" s="11"/>
    </row>
    <row r="50" spans="1:11" hidden="1">
      <c r="A50" s="18" t="s">
        <v>95</v>
      </c>
      <c r="B50" s="19" t="s">
        <v>96</v>
      </c>
      <c r="C50" s="9" t="str">
        <f>IFERROR(VLOOKUP(A50,'Product Categories for FG'!A:A,1,FALSE),"missing")</f>
        <v>2511-0047</v>
      </c>
      <c r="D50" s="8"/>
      <c r="E50" s="8"/>
      <c r="F50" s="8"/>
      <c r="G50" s="8"/>
      <c r="H50" s="8"/>
      <c r="I50" s="8"/>
      <c r="J50" s="8"/>
      <c r="K50" s="12"/>
    </row>
    <row r="51" spans="1:11" hidden="1">
      <c r="A51" s="16" t="s">
        <v>97</v>
      </c>
      <c r="B51" s="17" t="s">
        <v>98</v>
      </c>
      <c r="C51" s="9" t="str">
        <f>IFERROR(VLOOKUP(A51,'Product Categories for FG'!A:A,1,FALSE),"missing")</f>
        <v>2511-0048</v>
      </c>
      <c r="D51" s="7"/>
      <c r="E51" s="7"/>
      <c r="F51" s="7"/>
      <c r="G51" s="7"/>
      <c r="H51" s="7"/>
      <c r="I51" s="7"/>
      <c r="J51" s="7"/>
      <c r="K51" s="11"/>
    </row>
    <row r="52" spans="1:11" hidden="1">
      <c r="A52" s="18" t="s">
        <v>99</v>
      </c>
      <c r="B52" s="19" t="s">
        <v>100</v>
      </c>
      <c r="C52" s="9" t="str">
        <f>IFERROR(VLOOKUP(A52,'Product Categories for FG'!A:A,1,FALSE),"missing")</f>
        <v>2511-0049</v>
      </c>
      <c r="D52" s="8"/>
      <c r="E52" s="8"/>
      <c r="F52" s="8"/>
      <c r="G52" s="8"/>
      <c r="H52" s="8"/>
      <c r="I52" s="8"/>
      <c r="J52" s="8"/>
      <c r="K52" s="12"/>
    </row>
    <row r="53" spans="1:11" hidden="1">
      <c r="A53" s="16" t="s">
        <v>101</v>
      </c>
      <c r="B53" s="17" t="s">
        <v>102</v>
      </c>
      <c r="C53" s="9" t="str">
        <f>IFERROR(VLOOKUP(A53,'Product Categories for FG'!A:A,1,FALSE),"missing")</f>
        <v>2511-0050</v>
      </c>
      <c r="D53" s="7"/>
      <c r="E53" s="7"/>
      <c r="F53" s="7"/>
      <c r="G53" s="7"/>
      <c r="H53" s="7"/>
      <c r="I53" s="7"/>
      <c r="J53" s="7"/>
      <c r="K53" s="11"/>
    </row>
    <row r="54" spans="1:11" hidden="1">
      <c r="A54" s="18" t="s">
        <v>103</v>
      </c>
      <c r="B54" s="19" t="s">
        <v>104</v>
      </c>
      <c r="C54" s="9" t="str">
        <f>IFERROR(VLOOKUP(A54,'Product Categories for FG'!A:A,1,FALSE),"missing")</f>
        <v>2511-0051</v>
      </c>
      <c r="D54" s="8"/>
      <c r="E54" s="8"/>
      <c r="F54" s="8"/>
      <c r="G54" s="8"/>
      <c r="H54" s="8"/>
      <c r="I54" s="8"/>
      <c r="J54" s="8"/>
      <c r="K54" s="12"/>
    </row>
    <row r="55" spans="1:11" hidden="1">
      <c r="A55" s="16" t="s">
        <v>105</v>
      </c>
      <c r="B55" s="17" t="s">
        <v>106</v>
      </c>
      <c r="C55" s="9" t="str">
        <f>IFERROR(VLOOKUP(A55,'Product Categories for FG'!A:A,1,FALSE),"missing")</f>
        <v>2511-0052</v>
      </c>
      <c r="D55" s="7"/>
      <c r="E55" s="7"/>
      <c r="F55" s="7"/>
      <c r="G55" s="7"/>
      <c r="H55" s="7"/>
      <c r="I55" s="7"/>
      <c r="J55" s="7"/>
      <c r="K55" s="11"/>
    </row>
    <row r="56" spans="1:11" hidden="1">
      <c r="A56" s="18" t="s">
        <v>107</v>
      </c>
      <c r="B56" s="19" t="s">
        <v>108</v>
      </c>
      <c r="C56" s="9" t="str">
        <f>IFERROR(VLOOKUP(A56,'Product Categories for FG'!A:A,1,FALSE),"missing")</f>
        <v>2511-0053</v>
      </c>
      <c r="D56" s="8"/>
      <c r="E56" s="8"/>
      <c r="F56" s="8"/>
      <c r="G56" s="8"/>
      <c r="H56" s="8"/>
      <c r="I56" s="8"/>
      <c r="J56" s="8"/>
      <c r="K56" s="12"/>
    </row>
    <row r="57" spans="1:11" hidden="1">
      <c r="A57" s="16" t="s">
        <v>109</v>
      </c>
      <c r="B57" s="17" t="s">
        <v>110</v>
      </c>
      <c r="C57" s="9" t="str">
        <f>IFERROR(VLOOKUP(A57,'Product Categories for FG'!A:A,1,FALSE),"missing")</f>
        <v>2511-0054</v>
      </c>
      <c r="D57" s="7"/>
      <c r="E57" s="7"/>
      <c r="F57" s="7"/>
      <c r="G57" s="7"/>
      <c r="H57" s="7"/>
      <c r="I57" s="7"/>
      <c r="J57" s="7"/>
      <c r="K57" s="11"/>
    </row>
    <row r="58" spans="1:11" hidden="1">
      <c r="A58" s="18" t="s">
        <v>111</v>
      </c>
      <c r="B58" s="19" t="s">
        <v>112</v>
      </c>
      <c r="C58" s="9" t="str">
        <f>IFERROR(VLOOKUP(A58,'Product Categories for FG'!A:A,1,FALSE),"missing")</f>
        <v>2511-0055</v>
      </c>
      <c r="D58" s="8"/>
      <c r="E58" s="8"/>
      <c r="F58" s="8"/>
      <c r="G58" s="8"/>
      <c r="H58" s="8"/>
      <c r="I58" s="8"/>
      <c r="J58" s="8"/>
      <c r="K58" s="12"/>
    </row>
    <row r="59" spans="1:11" hidden="1">
      <c r="A59" s="16" t="s">
        <v>113</v>
      </c>
      <c r="B59" s="17" t="s">
        <v>114</v>
      </c>
      <c r="C59" s="9" t="str">
        <f>IFERROR(VLOOKUP(A59,'Product Categories for FG'!A:A,1,FALSE),"missing")</f>
        <v>2511-0056</v>
      </c>
      <c r="D59" s="7"/>
      <c r="E59" s="7"/>
      <c r="F59" s="7"/>
      <c r="G59" s="7"/>
      <c r="H59" s="7"/>
      <c r="I59" s="7"/>
      <c r="J59" s="7"/>
      <c r="K59" s="11"/>
    </row>
    <row r="60" spans="1:11" hidden="1">
      <c r="A60" s="18" t="s">
        <v>115</v>
      </c>
      <c r="B60" s="19" t="s">
        <v>116</v>
      </c>
      <c r="C60" s="9" t="str">
        <f>IFERROR(VLOOKUP(A60,'Product Categories for FG'!A:A,1,FALSE),"missing")</f>
        <v>2511-0057</v>
      </c>
      <c r="D60" s="8"/>
      <c r="E60" s="8"/>
      <c r="F60" s="8"/>
      <c r="G60" s="8"/>
      <c r="H60" s="8"/>
      <c r="I60" s="8"/>
      <c r="J60" s="8"/>
      <c r="K60" s="12"/>
    </row>
    <row r="61" spans="1:11" hidden="1">
      <c r="A61" s="16" t="s">
        <v>117</v>
      </c>
      <c r="B61" s="17" t="s">
        <v>118</v>
      </c>
      <c r="C61" s="9" t="str">
        <f>IFERROR(VLOOKUP(A61,'Product Categories for FG'!A:A,1,FALSE),"missing")</f>
        <v>2511-0058</v>
      </c>
      <c r="D61" s="7"/>
      <c r="E61" s="7"/>
      <c r="F61" s="7"/>
      <c r="G61" s="7"/>
      <c r="H61" s="7"/>
      <c r="I61" s="7"/>
      <c r="J61" s="7"/>
      <c r="K61" s="11"/>
    </row>
    <row r="62" spans="1:11" hidden="1">
      <c r="A62" s="18" t="s">
        <v>119</v>
      </c>
      <c r="B62" s="19" t="s">
        <v>120</v>
      </c>
      <c r="C62" s="9" t="str">
        <f>IFERROR(VLOOKUP(A62,'Product Categories for FG'!A:A,1,FALSE),"missing")</f>
        <v>2511-0059</v>
      </c>
      <c r="D62" s="8"/>
      <c r="E62" s="8"/>
      <c r="F62" s="8"/>
      <c r="G62" s="8"/>
      <c r="H62" s="8"/>
      <c r="I62" s="8"/>
      <c r="J62" s="8"/>
      <c r="K62" s="12"/>
    </row>
    <row r="63" spans="1:11" hidden="1">
      <c r="A63" s="16" t="s">
        <v>121</v>
      </c>
      <c r="B63" s="17" t="s">
        <v>122</v>
      </c>
      <c r="C63" s="9" t="str">
        <f>IFERROR(VLOOKUP(A63,'Product Categories for FG'!A:A,1,FALSE),"missing")</f>
        <v>2511-0060</v>
      </c>
      <c r="D63" s="7"/>
      <c r="E63" s="7"/>
      <c r="F63" s="7"/>
      <c r="G63" s="7"/>
      <c r="H63" s="7"/>
      <c r="I63" s="7"/>
      <c r="J63" s="7"/>
      <c r="K63" s="11"/>
    </row>
    <row r="64" spans="1:11" hidden="1">
      <c r="A64" s="18" t="s">
        <v>123</v>
      </c>
      <c r="B64" s="19" t="s">
        <v>124</v>
      </c>
      <c r="C64" s="9" t="str">
        <f>IFERROR(VLOOKUP(A64,'Product Categories for FG'!A:A,1,FALSE),"missing")</f>
        <v>2511-0061</v>
      </c>
      <c r="D64" s="8"/>
      <c r="E64" s="8"/>
      <c r="F64" s="8"/>
      <c r="G64" s="8"/>
      <c r="H64" s="8"/>
      <c r="I64" s="8"/>
      <c r="J64" s="8"/>
      <c r="K64" s="12"/>
    </row>
    <row r="65" spans="1:11" hidden="1">
      <c r="A65" s="16" t="s">
        <v>125</v>
      </c>
      <c r="B65" s="17" t="s">
        <v>1460</v>
      </c>
      <c r="C65" s="9" t="str">
        <f>IFERROR(VLOOKUP(A65,'Product Categories for FG'!A:A,1,FALSE),"missing")</f>
        <v>2511-0062</v>
      </c>
      <c r="D65" s="7"/>
      <c r="E65" s="7"/>
      <c r="F65" s="7"/>
      <c r="G65" s="7"/>
      <c r="H65" s="7"/>
      <c r="I65" s="7"/>
      <c r="J65" s="7"/>
      <c r="K65" s="11"/>
    </row>
    <row r="66" spans="1:11" hidden="1">
      <c r="A66" s="18" t="s">
        <v>127</v>
      </c>
      <c r="B66" s="19" t="s">
        <v>128</v>
      </c>
      <c r="C66" s="9" t="str">
        <f>IFERROR(VLOOKUP(A66,'Product Categories for FG'!A:A,1,FALSE),"missing")</f>
        <v>2511-0063</v>
      </c>
      <c r="D66" s="8"/>
      <c r="E66" s="8"/>
      <c r="F66" s="8"/>
      <c r="G66" s="8"/>
      <c r="H66" s="8"/>
      <c r="I66" s="8"/>
      <c r="J66" s="8"/>
      <c r="K66" s="12"/>
    </row>
    <row r="67" spans="1:11" hidden="1">
      <c r="A67" s="16" t="s">
        <v>129</v>
      </c>
      <c r="B67" s="17" t="s">
        <v>130</v>
      </c>
      <c r="C67" s="9" t="str">
        <f>IFERROR(VLOOKUP(A67,'Product Categories for FG'!A:A,1,FALSE),"missing")</f>
        <v>2511-0064</v>
      </c>
      <c r="D67" s="7"/>
      <c r="E67" s="7"/>
      <c r="F67" s="7"/>
      <c r="G67" s="7"/>
      <c r="H67" s="7"/>
      <c r="I67" s="7"/>
      <c r="J67" s="7"/>
      <c r="K67" s="11"/>
    </row>
    <row r="68" spans="1:11" hidden="1">
      <c r="A68" s="18" t="s">
        <v>131</v>
      </c>
      <c r="B68" s="19" t="s">
        <v>132</v>
      </c>
      <c r="C68" s="9" t="str">
        <f>IFERROR(VLOOKUP(A68,'Product Categories for FG'!A:A,1,FALSE),"missing")</f>
        <v>2511-0065</v>
      </c>
      <c r="D68" s="8"/>
      <c r="E68" s="8"/>
      <c r="F68" s="8"/>
      <c r="G68" s="8"/>
      <c r="H68" s="8"/>
      <c r="I68" s="8"/>
      <c r="J68" s="8"/>
      <c r="K68" s="12"/>
    </row>
    <row r="69" spans="1:11" hidden="1">
      <c r="A69" s="16" t="s">
        <v>133</v>
      </c>
      <c r="B69" s="17" t="s">
        <v>134</v>
      </c>
      <c r="C69" s="9" t="str">
        <f>IFERROR(VLOOKUP(A69,'Product Categories for FG'!A:A,1,FALSE),"missing")</f>
        <v>2511-0066</v>
      </c>
      <c r="D69" s="7"/>
      <c r="E69" s="7"/>
      <c r="F69" s="7"/>
      <c r="G69" s="7"/>
      <c r="H69" s="7"/>
      <c r="I69" s="7"/>
      <c r="J69" s="7"/>
      <c r="K69" s="11"/>
    </row>
    <row r="70" spans="1:11" hidden="1">
      <c r="A70" s="18" t="s">
        <v>135</v>
      </c>
      <c r="B70" s="19" t="s">
        <v>136</v>
      </c>
      <c r="C70" s="9" t="str">
        <f>IFERROR(VLOOKUP(A70,'Product Categories for FG'!A:A,1,FALSE),"missing")</f>
        <v>2511-0067</v>
      </c>
      <c r="D70" s="8"/>
      <c r="E70" s="8"/>
      <c r="F70" s="8"/>
      <c r="G70" s="8"/>
      <c r="H70" s="8"/>
      <c r="I70" s="8"/>
      <c r="J70" s="8"/>
      <c r="K70" s="12"/>
    </row>
    <row r="71" spans="1:11" hidden="1">
      <c r="A71" s="16" t="s">
        <v>137</v>
      </c>
      <c r="B71" s="17" t="s">
        <v>138</v>
      </c>
      <c r="C71" s="9" t="str">
        <f>IFERROR(VLOOKUP(A71,'Product Categories for FG'!A:A,1,FALSE),"missing")</f>
        <v>2511-0068</v>
      </c>
      <c r="D71" s="7"/>
      <c r="E71" s="7"/>
      <c r="F71" s="7"/>
      <c r="G71" s="7"/>
      <c r="H71" s="7"/>
      <c r="I71" s="7"/>
      <c r="J71" s="7"/>
      <c r="K71" s="11"/>
    </row>
    <row r="72" spans="1:11" hidden="1">
      <c r="A72" s="18" t="s">
        <v>139</v>
      </c>
      <c r="B72" s="19" t="s">
        <v>140</v>
      </c>
      <c r="C72" s="9" t="str">
        <f>IFERROR(VLOOKUP(A72,'Product Categories for FG'!A:A,1,FALSE),"missing")</f>
        <v>2511-0069</v>
      </c>
      <c r="D72" s="8"/>
      <c r="E72" s="8"/>
      <c r="F72" s="8"/>
      <c r="G72" s="8"/>
      <c r="H72" s="8"/>
      <c r="I72" s="8"/>
      <c r="J72" s="8"/>
      <c r="K72" s="12"/>
    </row>
    <row r="73" spans="1:11" hidden="1">
      <c r="A73" s="16" t="s">
        <v>141</v>
      </c>
      <c r="B73" s="17" t="s">
        <v>142</v>
      </c>
      <c r="C73" s="9" t="str">
        <f>IFERROR(VLOOKUP(A73,'Product Categories for FG'!A:A,1,FALSE),"missing")</f>
        <v>2511-0070</v>
      </c>
      <c r="D73" s="7"/>
      <c r="E73" s="7"/>
      <c r="F73" s="7"/>
      <c r="G73" s="7"/>
      <c r="H73" s="7"/>
      <c r="I73" s="7"/>
      <c r="J73" s="7"/>
      <c r="K73" s="11"/>
    </row>
    <row r="74" spans="1:11" hidden="1">
      <c r="A74" s="18" t="s">
        <v>143</v>
      </c>
      <c r="B74" s="19" t="s">
        <v>144</v>
      </c>
      <c r="C74" s="9" t="str">
        <f>IFERROR(VLOOKUP(A74,'Product Categories for FG'!A:A,1,FALSE),"missing")</f>
        <v>2511-0071</v>
      </c>
      <c r="D74" s="8"/>
      <c r="E74" s="8"/>
      <c r="F74" s="8"/>
      <c r="G74" s="8"/>
      <c r="H74" s="8"/>
      <c r="I74" s="8"/>
      <c r="J74" s="8"/>
      <c r="K74" s="12"/>
    </row>
    <row r="75" spans="1:11" hidden="1">
      <c r="A75" s="16" t="s">
        <v>145</v>
      </c>
      <c r="B75" s="17" t="s">
        <v>146</v>
      </c>
      <c r="C75" s="9" t="str">
        <f>IFERROR(VLOOKUP(A75,'Product Categories for FG'!A:A,1,FALSE),"missing")</f>
        <v>2511-0072</v>
      </c>
      <c r="D75" s="7"/>
      <c r="E75" s="7"/>
      <c r="F75" s="7"/>
      <c r="G75" s="7"/>
      <c r="H75" s="7"/>
      <c r="I75" s="7"/>
      <c r="J75" s="7"/>
      <c r="K75" s="11"/>
    </row>
    <row r="76" spans="1:11" hidden="1">
      <c r="A76" s="18" t="s">
        <v>147</v>
      </c>
      <c r="B76" s="19" t="s">
        <v>148</v>
      </c>
      <c r="C76" s="9" t="str">
        <f>IFERROR(VLOOKUP(A76,'Product Categories for FG'!A:A,1,FALSE),"missing")</f>
        <v>2511-0073</v>
      </c>
      <c r="D76" s="8"/>
      <c r="E76" s="8"/>
      <c r="F76" s="8"/>
      <c r="G76" s="8"/>
      <c r="H76" s="8"/>
      <c r="I76" s="8"/>
      <c r="J76" s="8"/>
      <c r="K76" s="12"/>
    </row>
    <row r="77" spans="1:11" hidden="1">
      <c r="A77" s="16" t="s">
        <v>149</v>
      </c>
      <c r="B77" s="17" t="s">
        <v>150</v>
      </c>
      <c r="C77" s="9" t="str">
        <f>IFERROR(VLOOKUP(A77,'Product Categories for FG'!A:A,1,FALSE),"missing")</f>
        <v>2511-0074</v>
      </c>
      <c r="D77" s="7"/>
      <c r="E77" s="7"/>
      <c r="F77" s="7"/>
      <c r="G77" s="7"/>
      <c r="H77" s="7"/>
      <c r="I77" s="7"/>
      <c r="J77" s="7"/>
      <c r="K77" s="11"/>
    </row>
    <row r="78" spans="1:11" hidden="1">
      <c r="A78" s="18" t="s">
        <v>151</v>
      </c>
      <c r="B78" s="19" t="s">
        <v>152</v>
      </c>
      <c r="C78" s="9" t="str">
        <f>IFERROR(VLOOKUP(A78,'Product Categories for FG'!A:A,1,FALSE),"missing")</f>
        <v>2511-0075</v>
      </c>
      <c r="D78" s="8"/>
      <c r="E78" s="8"/>
      <c r="F78" s="8"/>
      <c r="G78" s="8"/>
      <c r="H78" s="8"/>
      <c r="I78" s="8"/>
      <c r="J78" s="8"/>
      <c r="K78" s="12"/>
    </row>
    <row r="79" spans="1:11" hidden="1">
      <c r="A79" s="16" t="s">
        <v>153</v>
      </c>
      <c r="B79" s="17" t="s">
        <v>154</v>
      </c>
      <c r="C79" s="9" t="str">
        <f>IFERROR(VLOOKUP(A79,'Product Categories for FG'!A:A,1,FALSE),"missing")</f>
        <v>2511-0076</v>
      </c>
      <c r="D79" s="7"/>
      <c r="E79" s="7"/>
      <c r="F79" s="7"/>
      <c r="G79" s="7"/>
      <c r="H79" s="7"/>
      <c r="I79" s="7"/>
      <c r="J79" s="7"/>
      <c r="K79" s="11"/>
    </row>
    <row r="80" spans="1:11" hidden="1">
      <c r="A80" s="18" t="s">
        <v>155</v>
      </c>
      <c r="B80" s="19" t="s">
        <v>156</v>
      </c>
      <c r="C80" s="9" t="str">
        <f>IFERROR(VLOOKUP(A80,'Product Categories for FG'!A:A,1,FALSE),"missing")</f>
        <v>2511-0077</v>
      </c>
      <c r="D80" s="8"/>
      <c r="E80" s="8"/>
      <c r="F80" s="8"/>
      <c r="G80" s="8"/>
      <c r="H80" s="8"/>
      <c r="I80" s="8"/>
      <c r="J80" s="8"/>
      <c r="K80" s="12"/>
    </row>
    <row r="81" spans="1:11" hidden="1">
      <c r="A81" s="16" t="s">
        <v>157</v>
      </c>
      <c r="B81" s="17" t="s">
        <v>158</v>
      </c>
      <c r="C81" s="9" t="str">
        <f>IFERROR(VLOOKUP(A81,'Product Categories for FG'!A:A,1,FALSE),"missing")</f>
        <v>2511-0078</v>
      </c>
      <c r="D81" s="7"/>
      <c r="E81" s="7"/>
      <c r="F81" s="7"/>
      <c r="G81" s="7"/>
      <c r="H81" s="7"/>
      <c r="I81" s="7"/>
      <c r="J81" s="7"/>
      <c r="K81" s="11"/>
    </row>
    <row r="82" spans="1:11" hidden="1">
      <c r="A82" s="18" t="s">
        <v>159</v>
      </c>
      <c r="B82" s="19" t="s">
        <v>160</v>
      </c>
      <c r="C82" s="9" t="str">
        <f>IFERROR(VLOOKUP(A82,'Product Categories for FG'!A:A,1,FALSE),"missing")</f>
        <v>2511-0079</v>
      </c>
      <c r="D82" s="8"/>
      <c r="E82" s="8"/>
      <c r="F82" s="8"/>
      <c r="G82" s="8"/>
      <c r="H82" s="8"/>
      <c r="I82" s="8"/>
      <c r="J82" s="8"/>
      <c r="K82" s="12"/>
    </row>
    <row r="83" spans="1:11" hidden="1">
      <c r="A83" s="16" t="s">
        <v>161</v>
      </c>
      <c r="B83" s="17" t="s">
        <v>162</v>
      </c>
      <c r="C83" s="9" t="str">
        <f>IFERROR(VLOOKUP(A83,'Product Categories for FG'!A:A,1,FALSE),"missing")</f>
        <v>2511-0080</v>
      </c>
      <c r="D83" s="7"/>
      <c r="E83" s="7"/>
      <c r="F83" s="7"/>
      <c r="G83" s="7"/>
      <c r="H83" s="7"/>
      <c r="I83" s="7"/>
      <c r="J83" s="7"/>
      <c r="K83" s="11"/>
    </row>
    <row r="84" spans="1:11" hidden="1">
      <c r="A84" s="18" t="s">
        <v>163</v>
      </c>
      <c r="B84" s="19" t="s">
        <v>164</v>
      </c>
      <c r="C84" s="9" t="str">
        <f>IFERROR(VLOOKUP(A84,'Product Categories for FG'!A:A,1,FALSE),"missing")</f>
        <v>2511-0081</v>
      </c>
      <c r="D84" s="8"/>
      <c r="E84" s="8"/>
      <c r="F84" s="8"/>
      <c r="G84" s="8"/>
      <c r="H84" s="8"/>
      <c r="I84" s="8"/>
      <c r="J84" s="8"/>
      <c r="K84" s="12"/>
    </row>
    <row r="85" spans="1:11" hidden="1">
      <c r="A85" s="16" t="s">
        <v>165</v>
      </c>
      <c r="B85" s="17" t="s">
        <v>166</v>
      </c>
      <c r="C85" s="9" t="str">
        <f>IFERROR(VLOOKUP(A85,'Product Categories for FG'!A:A,1,FALSE),"missing")</f>
        <v>2511-0082</v>
      </c>
      <c r="D85" s="7"/>
      <c r="E85" s="7"/>
      <c r="F85" s="7"/>
      <c r="G85" s="7"/>
      <c r="H85" s="7"/>
      <c r="I85" s="7"/>
      <c r="J85" s="7"/>
      <c r="K85" s="11"/>
    </row>
    <row r="86" spans="1:11" hidden="1">
      <c r="A86" s="18" t="s">
        <v>167</v>
      </c>
      <c r="B86" s="19" t="s">
        <v>168</v>
      </c>
      <c r="C86" s="9" t="str">
        <f>IFERROR(VLOOKUP(A86,'Product Categories for FG'!A:A,1,FALSE),"missing")</f>
        <v>2511-0083</v>
      </c>
      <c r="D86" s="8"/>
      <c r="E86" s="8"/>
      <c r="F86" s="8"/>
      <c r="G86" s="8"/>
      <c r="H86" s="8"/>
      <c r="I86" s="8"/>
      <c r="J86" s="8"/>
      <c r="K86" s="12"/>
    </row>
    <row r="87" spans="1:11" hidden="1">
      <c r="A87" s="16" t="s">
        <v>169</v>
      </c>
      <c r="B87" s="17" t="s">
        <v>170</v>
      </c>
      <c r="C87" s="9" t="str">
        <f>IFERROR(VLOOKUP(A87,'Product Categories for FG'!A:A,1,FALSE),"missing")</f>
        <v>2511-0084</v>
      </c>
      <c r="D87" s="7"/>
      <c r="E87" s="7"/>
      <c r="F87" s="7"/>
      <c r="G87" s="7"/>
      <c r="H87" s="7"/>
      <c r="I87" s="7"/>
      <c r="J87" s="7"/>
      <c r="K87" s="11"/>
    </row>
    <row r="88" spans="1:11" hidden="1">
      <c r="A88" s="18" t="s">
        <v>171</v>
      </c>
      <c r="B88" s="19" t="s">
        <v>76</v>
      </c>
      <c r="C88" s="9" t="str">
        <f>IFERROR(VLOOKUP(A88,'Product Categories for FG'!A:A,1,FALSE),"missing")</f>
        <v>2511-0085</v>
      </c>
      <c r="D88" s="8"/>
      <c r="E88" s="8"/>
      <c r="F88" s="8"/>
      <c r="G88" s="8"/>
      <c r="H88" s="8"/>
      <c r="I88" s="8"/>
      <c r="J88" s="8"/>
      <c r="K88" s="12"/>
    </row>
    <row r="89" spans="1:11" hidden="1">
      <c r="A89" s="16" t="s">
        <v>172</v>
      </c>
      <c r="B89" s="17" t="s">
        <v>173</v>
      </c>
      <c r="C89" s="9" t="str">
        <f>IFERROR(VLOOKUP(A89,'Product Categories for FG'!A:A,1,FALSE),"missing")</f>
        <v>2511-0086</v>
      </c>
      <c r="D89" s="7"/>
      <c r="E89" s="7"/>
      <c r="F89" s="7"/>
      <c r="G89" s="7"/>
      <c r="H89" s="7"/>
      <c r="I89" s="7"/>
      <c r="J89" s="7"/>
      <c r="K89" s="11"/>
    </row>
    <row r="90" spans="1:11" hidden="1">
      <c r="A90" s="18" t="s">
        <v>174</v>
      </c>
      <c r="B90" s="19" t="s">
        <v>175</v>
      </c>
      <c r="C90" s="9" t="str">
        <f>IFERROR(VLOOKUP(A90,'Product Categories for FG'!A:A,1,FALSE),"missing")</f>
        <v>2511-0087</v>
      </c>
      <c r="D90" s="8"/>
      <c r="E90" s="8"/>
      <c r="F90" s="8"/>
      <c r="G90" s="8"/>
      <c r="H90" s="8"/>
      <c r="I90" s="8"/>
      <c r="J90" s="8"/>
      <c r="K90" s="12"/>
    </row>
    <row r="91" spans="1:11" hidden="1">
      <c r="A91" s="16" t="s">
        <v>176</v>
      </c>
      <c r="B91" s="17" t="s">
        <v>177</v>
      </c>
      <c r="C91" s="9" t="str">
        <f>IFERROR(VLOOKUP(A91,'Product Categories for FG'!A:A,1,FALSE),"missing")</f>
        <v>2511-0088</v>
      </c>
      <c r="D91" s="7"/>
      <c r="E91" s="7"/>
      <c r="F91" s="7"/>
      <c r="G91" s="7"/>
      <c r="H91" s="7"/>
      <c r="I91" s="7"/>
      <c r="J91" s="7"/>
      <c r="K91" s="11"/>
    </row>
    <row r="92" spans="1:11" hidden="1">
      <c r="A92" s="18" t="s">
        <v>178</v>
      </c>
      <c r="B92" s="19" t="s">
        <v>179</v>
      </c>
      <c r="C92" s="9" t="str">
        <f>IFERROR(VLOOKUP(A92,'Product Categories for FG'!A:A,1,FALSE),"missing")</f>
        <v>2511-0089</v>
      </c>
      <c r="D92" s="8"/>
      <c r="E92" s="8"/>
      <c r="F92" s="8"/>
      <c r="G92" s="8"/>
      <c r="H92" s="8"/>
      <c r="I92" s="8"/>
      <c r="J92" s="8"/>
      <c r="K92" s="12"/>
    </row>
    <row r="93" spans="1:11" hidden="1">
      <c r="A93" s="16" t="s">
        <v>180</v>
      </c>
      <c r="B93" s="17" t="s">
        <v>181</v>
      </c>
      <c r="C93" s="9" t="str">
        <f>IFERROR(VLOOKUP(A93,'Product Categories for FG'!A:A,1,FALSE),"missing")</f>
        <v>2511-0090</v>
      </c>
      <c r="D93" s="7"/>
      <c r="E93" s="7"/>
      <c r="F93" s="7"/>
      <c r="G93" s="7"/>
      <c r="H93" s="7"/>
      <c r="I93" s="7"/>
      <c r="J93" s="7"/>
      <c r="K93" s="11"/>
    </row>
    <row r="94" spans="1:11" hidden="1">
      <c r="A94" s="18" t="s">
        <v>182</v>
      </c>
      <c r="B94" s="19" t="s">
        <v>183</v>
      </c>
      <c r="C94" s="9" t="str">
        <f>IFERROR(VLOOKUP(A94,'Product Categories for FG'!A:A,1,FALSE),"missing")</f>
        <v>2511-0091</v>
      </c>
      <c r="D94" s="8"/>
      <c r="E94" s="8"/>
      <c r="F94" s="8"/>
      <c r="G94" s="8"/>
      <c r="H94" s="8"/>
      <c r="I94" s="8"/>
      <c r="J94" s="8"/>
      <c r="K94" s="12"/>
    </row>
    <row r="95" spans="1:11" hidden="1">
      <c r="A95" s="16" t="s">
        <v>184</v>
      </c>
      <c r="B95" s="17" t="s">
        <v>185</v>
      </c>
      <c r="C95" s="9" t="str">
        <f>IFERROR(VLOOKUP(A95,'Product Categories for FG'!A:A,1,FALSE),"missing")</f>
        <v>2511-0092</v>
      </c>
      <c r="D95" s="7"/>
      <c r="E95" s="7"/>
      <c r="F95" s="7"/>
      <c r="G95" s="7"/>
      <c r="H95" s="7"/>
      <c r="I95" s="7"/>
      <c r="J95" s="7"/>
      <c r="K95" s="11"/>
    </row>
    <row r="96" spans="1:11" hidden="1">
      <c r="A96" s="18" t="s">
        <v>186</v>
      </c>
      <c r="B96" s="19" t="s">
        <v>187</v>
      </c>
      <c r="C96" s="9" t="str">
        <f>IFERROR(VLOOKUP(A96,'Product Categories for FG'!A:A,1,FALSE),"missing")</f>
        <v>2511-0093</v>
      </c>
      <c r="D96" s="8"/>
      <c r="E96" s="8"/>
      <c r="F96" s="8"/>
      <c r="G96" s="8"/>
      <c r="H96" s="8"/>
      <c r="I96" s="8"/>
      <c r="J96" s="8"/>
      <c r="K96" s="12"/>
    </row>
    <row r="97" spans="1:11" hidden="1">
      <c r="A97" s="16" t="s">
        <v>188</v>
      </c>
      <c r="B97" s="17" t="s">
        <v>189</v>
      </c>
      <c r="C97" s="9" t="str">
        <f>IFERROR(VLOOKUP(A97,'Product Categories for FG'!A:A,1,FALSE),"missing")</f>
        <v>2511-0094</v>
      </c>
      <c r="D97" s="7"/>
      <c r="E97" s="7"/>
      <c r="F97" s="7"/>
      <c r="G97" s="7"/>
      <c r="H97" s="7"/>
      <c r="I97" s="7"/>
      <c r="J97" s="7"/>
      <c r="K97" s="11"/>
    </row>
    <row r="98" spans="1:11" hidden="1">
      <c r="A98" s="18" t="s">
        <v>190</v>
      </c>
      <c r="B98" s="19" t="s">
        <v>191</v>
      </c>
      <c r="C98" s="9" t="str">
        <f>IFERROR(VLOOKUP(A98,'Product Categories for FG'!A:A,1,FALSE),"missing")</f>
        <v>2511-0095</v>
      </c>
      <c r="D98" s="8"/>
      <c r="E98" s="8"/>
      <c r="F98" s="8"/>
      <c r="G98" s="8"/>
      <c r="H98" s="8"/>
      <c r="I98" s="8"/>
      <c r="J98" s="8"/>
      <c r="K98" s="12"/>
    </row>
    <row r="99" spans="1:11" hidden="1">
      <c r="A99" s="16" t="s">
        <v>192</v>
      </c>
      <c r="B99" s="17" t="s">
        <v>193</v>
      </c>
      <c r="C99" s="9" t="str">
        <f>IFERROR(VLOOKUP(A99,'Product Categories for FG'!A:A,1,FALSE),"missing")</f>
        <v>2511-0096</v>
      </c>
      <c r="D99" s="7"/>
      <c r="E99" s="7"/>
      <c r="F99" s="7"/>
      <c r="G99" s="7"/>
      <c r="H99" s="7"/>
      <c r="I99" s="7"/>
      <c r="J99" s="7"/>
      <c r="K99" s="11"/>
    </row>
    <row r="100" spans="1:11" hidden="1">
      <c r="A100" s="18" t="s">
        <v>194</v>
      </c>
      <c r="B100" s="19" t="s">
        <v>195</v>
      </c>
      <c r="C100" s="9" t="str">
        <f>IFERROR(VLOOKUP(A100,'Product Categories for FG'!A:A,1,FALSE),"missing")</f>
        <v>2511-0097</v>
      </c>
      <c r="D100" s="8"/>
      <c r="E100" s="8"/>
      <c r="F100" s="8"/>
      <c r="G100" s="8"/>
      <c r="H100" s="8"/>
      <c r="I100" s="8"/>
      <c r="J100" s="8"/>
      <c r="K100" s="12"/>
    </row>
    <row r="101" spans="1:11" hidden="1">
      <c r="A101" s="16" t="s">
        <v>196</v>
      </c>
      <c r="B101" s="17" t="s">
        <v>197</v>
      </c>
      <c r="C101" s="9" t="str">
        <f>IFERROR(VLOOKUP(A101,'Product Categories for FG'!A:A,1,FALSE),"missing")</f>
        <v>2511-0098</v>
      </c>
      <c r="D101" s="7"/>
      <c r="E101" s="7"/>
      <c r="F101" s="7"/>
      <c r="G101" s="7"/>
      <c r="H101" s="7"/>
      <c r="I101" s="7"/>
      <c r="J101" s="7"/>
      <c r="K101" s="11"/>
    </row>
    <row r="102" spans="1:11" hidden="1">
      <c r="A102" s="18" t="s">
        <v>198</v>
      </c>
      <c r="B102" s="19" t="s">
        <v>199</v>
      </c>
      <c r="C102" s="9" t="str">
        <f>IFERROR(VLOOKUP(A102,'Product Categories for FG'!A:A,1,FALSE),"missing")</f>
        <v>2511-0099</v>
      </c>
      <c r="D102" s="8"/>
      <c r="E102" s="8"/>
      <c r="F102" s="8"/>
      <c r="G102" s="8"/>
      <c r="H102" s="8"/>
      <c r="I102" s="8"/>
      <c r="J102" s="8"/>
      <c r="K102" s="12"/>
    </row>
    <row r="103" spans="1:11" hidden="1">
      <c r="A103" s="16" t="s">
        <v>200</v>
      </c>
      <c r="B103" s="17" t="s">
        <v>201</v>
      </c>
      <c r="C103" s="9" t="str">
        <f>IFERROR(VLOOKUP(A103,'Product Categories for FG'!A:A,1,FALSE),"missing")</f>
        <v>2511-0100</v>
      </c>
      <c r="D103" s="7"/>
      <c r="E103" s="7"/>
      <c r="F103" s="7"/>
      <c r="G103" s="7"/>
      <c r="H103" s="7"/>
      <c r="I103" s="7"/>
      <c r="J103" s="7"/>
      <c r="K103" s="11"/>
    </row>
    <row r="104" spans="1:11" hidden="1">
      <c r="A104" s="18" t="s">
        <v>202</v>
      </c>
      <c r="B104" s="19" t="s">
        <v>203</v>
      </c>
      <c r="C104" s="9" t="str">
        <f>IFERROR(VLOOKUP(A104,'Product Categories for FG'!A:A,1,FALSE),"missing")</f>
        <v>2511-0101</v>
      </c>
      <c r="D104" s="8"/>
      <c r="E104" s="8"/>
      <c r="F104" s="8"/>
      <c r="G104" s="8"/>
      <c r="H104" s="8"/>
      <c r="I104" s="8"/>
      <c r="J104" s="8"/>
      <c r="K104" s="12"/>
    </row>
    <row r="105" spans="1:11" hidden="1">
      <c r="A105" s="16" t="s">
        <v>204</v>
      </c>
      <c r="B105" s="17" t="s">
        <v>205</v>
      </c>
      <c r="C105" s="9" t="str">
        <f>IFERROR(VLOOKUP(A105,'Product Categories for FG'!A:A,1,FALSE),"missing")</f>
        <v>2511-0102</v>
      </c>
      <c r="D105" s="7"/>
      <c r="E105" s="7"/>
      <c r="F105" s="7"/>
      <c r="G105" s="7"/>
      <c r="H105" s="7"/>
      <c r="I105" s="7"/>
      <c r="J105" s="7"/>
      <c r="K105" s="11"/>
    </row>
    <row r="106" spans="1:11" hidden="1">
      <c r="A106" s="18" t="s">
        <v>206</v>
      </c>
      <c r="B106" s="19" t="s">
        <v>207</v>
      </c>
      <c r="C106" s="9" t="str">
        <f>IFERROR(VLOOKUP(A106,'Product Categories for FG'!A:A,1,FALSE),"missing")</f>
        <v>2511-0103</v>
      </c>
      <c r="D106" s="8"/>
      <c r="E106" s="8"/>
      <c r="F106" s="8"/>
      <c r="G106" s="8"/>
      <c r="H106" s="8"/>
      <c r="I106" s="8"/>
      <c r="J106" s="8"/>
      <c r="K106" s="12"/>
    </row>
    <row r="107" spans="1:11" hidden="1">
      <c r="A107" s="16" t="s">
        <v>208</v>
      </c>
      <c r="B107" s="17" t="s">
        <v>209</v>
      </c>
      <c r="C107" s="9" t="str">
        <f>IFERROR(VLOOKUP(A107,'Product Categories for FG'!A:A,1,FALSE),"missing")</f>
        <v>2511-0104</v>
      </c>
      <c r="D107" s="7"/>
      <c r="E107" s="7"/>
      <c r="F107" s="7"/>
      <c r="G107" s="7"/>
      <c r="H107" s="7"/>
      <c r="I107" s="7"/>
      <c r="J107" s="7"/>
      <c r="K107" s="11"/>
    </row>
    <row r="108" spans="1:11" hidden="1">
      <c r="A108" s="18" t="s">
        <v>210</v>
      </c>
      <c r="B108" s="19" t="s">
        <v>211</v>
      </c>
      <c r="C108" s="9" t="str">
        <f>IFERROR(VLOOKUP(A108,'Product Categories for FG'!A:A,1,FALSE),"missing")</f>
        <v>2511-0105</v>
      </c>
      <c r="D108" s="8"/>
      <c r="E108" s="8"/>
      <c r="F108" s="8"/>
      <c r="G108" s="8"/>
      <c r="H108" s="8"/>
      <c r="I108" s="8"/>
      <c r="J108" s="8"/>
      <c r="K108" s="12"/>
    </row>
    <row r="109" spans="1:11" hidden="1">
      <c r="A109" s="16" t="s">
        <v>212</v>
      </c>
      <c r="B109" s="17" t="s">
        <v>213</v>
      </c>
      <c r="C109" s="9" t="str">
        <f>IFERROR(VLOOKUP(A109,'Product Categories for FG'!A:A,1,FALSE),"missing")</f>
        <v>2511-0106</v>
      </c>
      <c r="D109" s="7"/>
      <c r="E109" s="7"/>
      <c r="F109" s="7"/>
      <c r="G109" s="7"/>
      <c r="H109" s="7"/>
      <c r="I109" s="7"/>
      <c r="J109" s="7"/>
      <c r="K109" s="11"/>
    </row>
    <row r="110" spans="1:11" hidden="1">
      <c r="A110" s="18" t="s">
        <v>214</v>
      </c>
      <c r="B110" s="19" t="s">
        <v>215</v>
      </c>
      <c r="C110" s="9" t="str">
        <f>IFERROR(VLOOKUP(A110,'Product Categories for FG'!A:A,1,FALSE),"missing")</f>
        <v>2511-0107</v>
      </c>
      <c r="D110" s="8"/>
      <c r="E110" s="8"/>
      <c r="F110" s="8"/>
      <c r="G110" s="8"/>
      <c r="H110" s="8"/>
      <c r="I110" s="8"/>
      <c r="J110" s="8"/>
      <c r="K110" s="12"/>
    </row>
    <row r="111" spans="1:11" hidden="1">
      <c r="A111" s="16" t="s">
        <v>216</v>
      </c>
      <c r="B111" s="17" t="s">
        <v>217</v>
      </c>
      <c r="C111" s="9" t="str">
        <f>IFERROR(VLOOKUP(A111,'Product Categories for FG'!A:A,1,FALSE),"missing")</f>
        <v>2511-0108</v>
      </c>
      <c r="D111" s="7"/>
      <c r="E111" s="7"/>
      <c r="F111" s="7"/>
      <c r="G111" s="7"/>
      <c r="H111" s="7"/>
      <c r="I111" s="7"/>
      <c r="J111" s="7"/>
      <c r="K111" s="11"/>
    </row>
    <row r="112" spans="1:11" hidden="1">
      <c r="A112" s="18" t="s">
        <v>218</v>
      </c>
      <c r="B112" s="19" t="s">
        <v>219</v>
      </c>
      <c r="C112" s="9" t="str">
        <f>IFERROR(VLOOKUP(A112,'Product Categories for FG'!A:A,1,FALSE),"missing")</f>
        <v>2511-0109</v>
      </c>
      <c r="D112" s="8"/>
      <c r="E112" s="8"/>
      <c r="F112" s="8"/>
      <c r="G112" s="8"/>
      <c r="H112" s="8"/>
      <c r="I112" s="8"/>
      <c r="J112" s="8"/>
      <c r="K112" s="12"/>
    </row>
    <row r="113" spans="1:11" hidden="1">
      <c r="A113" s="16" t="s">
        <v>220</v>
      </c>
      <c r="B113" s="17" t="s">
        <v>221</v>
      </c>
      <c r="C113" s="9" t="str">
        <f>IFERROR(VLOOKUP(A113,'Product Categories for FG'!A:A,1,FALSE),"missing")</f>
        <v>2511-0110</v>
      </c>
      <c r="D113" s="7"/>
      <c r="E113" s="7"/>
      <c r="F113" s="7"/>
      <c r="G113" s="7"/>
      <c r="H113" s="7"/>
      <c r="I113" s="7"/>
      <c r="J113" s="7"/>
      <c r="K113" s="11"/>
    </row>
    <row r="114" spans="1:11" hidden="1">
      <c r="A114" s="18" t="s">
        <v>222</v>
      </c>
      <c r="B114" s="19" t="s">
        <v>223</v>
      </c>
      <c r="C114" s="9" t="str">
        <f>IFERROR(VLOOKUP(A114,'Product Categories for FG'!A:A,1,FALSE),"missing")</f>
        <v>2511-0111</v>
      </c>
      <c r="D114" s="8"/>
      <c r="E114" s="8"/>
      <c r="F114" s="8"/>
      <c r="G114" s="8"/>
      <c r="H114" s="8"/>
      <c r="I114" s="8"/>
      <c r="J114" s="8"/>
      <c r="K114" s="12"/>
    </row>
    <row r="115" spans="1:11" hidden="1">
      <c r="A115" s="16" t="s">
        <v>224</v>
      </c>
      <c r="B115" s="17" t="s">
        <v>1461</v>
      </c>
      <c r="C115" s="9" t="str">
        <f>IFERROR(VLOOKUP(A115,'Product Categories for FG'!A:A,1,FALSE),"missing")</f>
        <v>2511-0112</v>
      </c>
      <c r="D115" s="7"/>
      <c r="E115" s="7"/>
      <c r="F115" s="7"/>
      <c r="G115" s="7"/>
      <c r="H115" s="7"/>
      <c r="I115" s="7"/>
      <c r="J115" s="7"/>
      <c r="K115" s="11"/>
    </row>
    <row r="116" spans="1:11" hidden="1">
      <c r="A116" s="18" t="s">
        <v>1096</v>
      </c>
      <c r="B116" s="19" t="s">
        <v>1097</v>
      </c>
      <c r="C116" s="9" t="str">
        <f>IFERROR(VLOOKUP(A116,'Product Categories for FG'!A:A,1,FALSE),"missing")</f>
        <v>2511-0114</v>
      </c>
      <c r="D116" s="8"/>
      <c r="E116" s="8"/>
      <c r="F116" s="8"/>
      <c r="G116" s="8"/>
      <c r="H116" s="8"/>
      <c r="I116" s="8"/>
      <c r="J116" s="8"/>
      <c r="K116" s="12"/>
    </row>
    <row r="117" spans="1:11" hidden="1">
      <c r="A117" s="16" t="s">
        <v>226</v>
      </c>
      <c r="B117" s="17" t="s">
        <v>227</v>
      </c>
      <c r="C117" s="9" t="str">
        <f>IFERROR(VLOOKUP(A117,'Product Categories for FG'!A:A,1,FALSE),"missing")</f>
        <v>2511-0115</v>
      </c>
      <c r="D117" s="7"/>
      <c r="E117" s="7"/>
      <c r="F117" s="7"/>
      <c r="G117" s="7"/>
      <c r="H117" s="7"/>
      <c r="I117" s="7"/>
      <c r="J117" s="7"/>
      <c r="K117" s="11"/>
    </row>
    <row r="118" spans="1:11" hidden="1">
      <c r="A118" s="18" t="s">
        <v>228</v>
      </c>
      <c r="B118" s="19" t="s">
        <v>229</v>
      </c>
      <c r="C118" s="9" t="str">
        <f>IFERROR(VLOOKUP(A118,'Product Categories for FG'!A:A,1,FALSE),"missing")</f>
        <v>2511-0116</v>
      </c>
      <c r="D118" s="8"/>
      <c r="E118" s="8"/>
      <c r="F118" s="8"/>
      <c r="G118" s="8"/>
      <c r="H118" s="8"/>
      <c r="I118" s="8"/>
      <c r="J118" s="8"/>
      <c r="K118" s="12"/>
    </row>
    <row r="119" spans="1:11" hidden="1">
      <c r="A119" s="16" t="s">
        <v>230</v>
      </c>
      <c r="B119" s="17" t="s">
        <v>231</v>
      </c>
      <c r="C119" s="9" t="str">
        <f>IFERROR(VLOOKUP(A119,'Product Categories for FG'!A:A,1,FALSE),"missing")</f>
        <v>2511-0117</v>
      </c>
      <c r="D119" s="7"/>
      <c r="E119" s="7"/>
      <c r="F119" s="7"/>
      <c r="G119" s="7"/>
      <c r="H119" s="7"/>
      <c r="I119" s="7"/>
      <c r="J119" s="7"/>
      <c r="K119" s="11"/>
    </row>
    <row r="120" spans="1:11" hidden="1">
      <c r="A120" s="18" t="s">
        <v>232</v>
      </c>
      <c r="B120" s="19" t="s">
        <v>233</v>
      </c>
      <c r="C120" s="9" t="str">
        <f>IFERROR(VLOOKUP(A120,'Product Categories for FG'!A:A,1,FALSE),"missing")</f>
        <v>2511-0118</v>
      </c>
      <c r="D120" s="8"/>
      <c r="E120" s="8"/>
      <c r="F120" s="8"/>
      <c r="G120" s="8"/>
      <c r="H120" s="8"/>
      <c r="I120" s="8"/>
      <c r="J120" s="8"/>
      <c r="K120" s="12"/>
    </row>
    <row r="121" spans="1:11" hidden="1">
      <c r="A121" s="16" t="s">
        <v>1065</v>
      </c>
      <c r="B121" s="17" t="s">
        <v>1066</v>
      </c>
      <c r="C121" s="9" t="str">
        <f>IFERROR(VLOOKUP(A121,'Product Categories for FG'!A:A,1,FALSE),"missing")</f>
        <v>2511-0119</v>
      </c>
      <c r="D121" s="7"/>
      <c r="E121" s="7"/>
      <c r="F121" s="7"/>
      <c r="G121" s="7"/>
      <c r="H121" s="7"/>
      <c r="I121" s="7"/>
      <c r="J121" s="7"/>
      <c r="K121" s="11"/>
    </row>
    <row r="122" spans="1:11" hidden="1">
      <c r="A122" s="18" t="s">
        <v>234</v>
      </c>
      <c r="B122" s="19" t="s">
        <v>235</v>
      </c>
      <c r="C122" s="9" t="str">
        <f>IFERROR(VLOOKUP(A122,'Product Categories for FG'!A:A,1,FALSE),"missing")</f>
        <v>2511-0120</v>
      </c>
      <c r="D122" s="8"/>
      <c r="E122" s="8"/>
      <c r="F122" s="8"/>
      <c r="G122" s="8"/>
      <c r="H122" s="8"/>
      <c r="I122" s="8"/>
      <c r="J122" s="8"/>
      <c r="K122" s="12"/>
    </row>
    <row r="123" spans="1:11" hidden="1">
      <c r="A123" s="16" t="s">
        <v>236</v>
      </c>
      <c r="B123" s="17" t="s">
        <v>237</v>
      </c>
      <c r="C123" s="9" t="str">
        <f>IFERROR(VLOOKUP(A123,'Product Categories for FG'!A:A,1,FALSE),"missing")</f>
        <v>2511-0121</v>
      </c>
      <c r="D123" s="7"/>
      <c r="E123" s="7"/>
      <c r="F123" s="7"/>
      <c r="G123" s="7"/>
      <c r="H123" s="7"/>
      <c r="I123" s="7"/>
      <c r="J123" s="7"/>
      <c r="K123" s="11"/>
    </row>
    <row r="124" spans="1:11" hidden="1">
      <c r="A124" s="18" t="s">
        <v>238</v>
      </c>
      <c r="B124" s="19" t="s">
        <v>239</v>
      </c>
      <c r="C124" s="9" t="str">
        <f>IFERROR(VLOOKUP(A124,'Product Categories for FG'!A:A,1,FALSE),"missing")</f>
        <v>2511-0122</v>
      </c>
      <c r="D124" s="8"/>
      <c r="E124" s="8"/>
      <c r="F124" s="8"/>
      <c r="G124" s="8"/>
      <c r="H124" s="8"/>
      <c r="I124" s="8"/>
      <c r="J124" s="8"/>
      <c r="K124" s="12"/>
    </row>
    <row r="125" spans="1:11" hidden="1">
      <c r="A125" s="16" t="s">
        <v>240</v>
      </c>
      <c r="B125" s="17" t="s">
        <v>241</v>
      </c>
      <c r="C125" s="9" t="str">
        <f>IFERROR(VLOOKUP(A125,'Product Categories for FG'!A:A,1,FALSE),"missing")</f>
        <v>2511-0123</v>
      </c>
      <c r="D125" s="7"/>
      <c r="E125" s="7"/>
      <c r="F125" s="7"/>
      <c r="G125" s="7"/>
      <c r="H125" s="7"/>
      <c r="I125" s="7"/>
      <c r="J125" s="7"/>
      <c r="K125" s="11"/>
    </row>
    <row r="126" spans="1:11" hidden="1">
      <c r="A126" s="18" t="s">
        <v>242</v>
      </c>
      <c r="B126" s="19" t="s">
        <v>1462</v>
      </c>
      <c r="C126" s="9" t="str">
        <f>IFERROR(VLOOKUP(A126,'Product Categories for FG'!A:A,1,FALSE),"missing")</f>
        <v>2511-0124</v>
      </c>
      <c r="D126" s="8"/>
      <c r="E126" s="8"/>
      <c r="F126" s="8"/>
      <c r="G126" s="8"/>
      <c r="H126" s="8"/>
      <c r="I126" s="8"/>
      <c r="J126" s="8"/>
      <c r="K126" s="12"/>
    </row>
    <row r="127" spans="1:11" hidden="1">
      <c r="A127" s="16" t="s">
        <v>244</v>
      </c>
      <c r="B127" s="17" t="s">
        <v>245</v>
      </c>
      <c r="C127" s="9" t="str">
        <f>IFERROR(VLOOKUP(A127,'Product Categories for FG'!A:A,1,FALSE),"missing")</f>
        <v>2511-0125</v>
      </c>
      <c r="D127" s="7"/>
      <c r="E127" s="7"/>
      <c r="F127" s="7"/>
      <c r="G127" s="7"/>
      <c r="H127" s="7"/>
      <c r="I127" s="7"/>
      <c r="J127" s="7"/>
      <c r="K127" s="11"/>
    </row>
    <row r="128" spans="1:11" hidden="1">
      <c r="A128" s="18" t="s">
        <v>246</v>
      </c>
      <c r="B128" s="19" t="s">
        <v>247</v>
      </c>
      <c r="C128" s="9" t="str">
        <f>IFERROR(VLOOKUP(A128,'Product Categories for FG'!A:A,1,FALSE),"missing")</f>
        <v>2511-0126</v>
      </c>
      <c r="D128" s="8"/>
      <c r="E128" s="8"/>
      <c r="F128" s="8"/>
      <c r="G128" s="8"/>
      <c r="H128" s="8"/>
      <c r="I128" s="8"/>
      <c r="J128" s="8"/>
      <c r="K128" s="12"/>
    </row>
    <row r="129" spans="1:11" hidden="1">
      <c r="A129" s="16" t="s">
        <v>248</v>
      </c>
      <c r="B129" s="17" t="s">
        <v>249</v>
      </c>
      <c r="C129" s="9" t="str">
        <f>IFERROR(VLOOKUP(A129,'Product Categories for FG'!A:A,1,FALSE),"missing")</f>
        <v>2511-0127</v>
      </c>
      <c r="D129" s="7"/>
      <c r="E129" s="7"/>
      <c r="F129" s="7"/>
      <c r="G129" s="7"/>
      <c r="H129" s="7"/>
      <c r="I129" s="7"/>
      <c r="J129" s="7"/>
      <c r="K129" s="11"/>
    </row>
    <row r="130" spans="1:11" hidden="1">
      <c r="A130" s="18" t="s">
        <v>250</v>
      </c>
      <c r="B130" s="19" t="s">
        <v>251</v>
      </c>
      <c r="C130" s="9" t="str">
        <f>IFERROR(VLOOKUP(A130,'Product Categories for FG'!A:A,1,FALSE),"missing")</f>
        <v>2511-0128</v>
      </c>
      <c r="D130" s="8"/>
      <c r="E130" s="8"/>
      <c r="F130" s="8"/>
      <c r="G130" s="8"/>
      <c r="H130" s="8"/>
      <c r="I130" s="8"/>
      <c r="J130" s="8"/>
      <c r="K130" s="12"/>
    </row>
    <row r="131" spans="1:11" hidden="1">
      <c r="A131" s="16" t="s">
        <v>252</v>
      </c>
      <c r="B131" s="17" t="s">
        <v>253</v>
      </c>
      <c r="C131" s="9" t="str">
        <f>IFERROR(VLOOKUP(A131,'Product Categories for FG'!A:A,1,FALSE),"missing")</f>
        <v>2511-0129</v>
      </c>
      <c r="D131" s="7"/>
      <c r="E131" s="7"/>
      <c r="F131" s="7"/>
      <c r="G131" s="7"/>
      <c r="H131" s="7"/>
      <c r="I131" s="7"/>
      <c r="J131" s="7"/>
      <c r="K131" s="11"/>
    </row>
    <row r="132" spans="1:11" hidden="1">
      <c r="A132" s="18" t="s">
        <v>254</v>
      </c>
      <c r="B132" s="19" t="s">
        <v>255</v>
      </c>
      <c r="C132" s="9" t="str">
        <f>IFERROR(VLOOKUP(A132,'Product Categories for FG'!A:A,1,FALSE),"missing")</f>
        <v>2511-0130</v>
      </c>
      <c r="D132" s="8"/>
      <c r="E132" s="8"/>
      <c r="F132" s="8"/>
      <c r="G132" s="8"/>
      <c r="H132" s="8"/>
      <c r="I132" s="8"/>
      <c r="J132" s="8"/>
      <c r="K132" s="12"/>
    </row>
    <row r="133" spans="1:11" hidden="1">
      <c r="A133" s="16" t="s">
        <v>256</v>
      </c>
      <c r="B133" s="17" t="s">
        <v>257</v>
      </c>
      <c r="C133" s="9" t="str">
        <f>IFERROR(VLOOKUP(A133,'Product Categories for FG'!A:A,1,FALSE),"missing")</f>
        <v>2511-0131</v>
      </c>
      <c r="D133" s="7"/>
      <c r="E133" s="7"/>
      <c r="F133" s="7"/>
      <c r="G133" s="7"/>
      <c r="H133" s="7"/>
      <c r="I133" s="7"/>
      <c r="J133" s="7"/>
      <c r="K133" s="11"/>
    </row>
    <row r="134" spans="1:11" hidden="1">
      <c r="A134" s="18" t="s">
        <v>258</v>
      </c>
      <c r="B134" s="19" t="s">
        <v>259</v>
      </c>
      <c r="C134" s="9" t="str">
        <f>IFERROR(VLOOKUP(A134,'Product Categories for FG'!A:A,1,FALSE),"missing")</f>
        <v>2511-0132</v>
      </c>
      <c r="D134" s="8"/>
      <c r="E134" s="8"/>
      <c r="F134" s="8"/>
      <c r="G134" s="8"/>
      <c r="H134" s="8"/>
      <c r="I134" s="8"/>
      <c r="J134" s="8"/>
      <c r="K134" s="12"/>
    </row>
    <row r="135" spans="1:11" hidden="1">
      <c r="A135" s="16" t="s">
        <v>260</v>
      </c>
      <c r="B135" s="17" t="s">
        <v>261</v>
      </c>
      <c r="C135" s="9" t="str">
        <f>IFERROR(VLOOKUP(A135,'Product Categories for FG'!A:A,1,FALSE),"missing")</f>
        <v>2511-0133</v>
      </c>
      <c r="D135" s="7"/>
      <c r="E135" s="7"/>
      <c r="F135" s="7"/>
      <c r="G135" s="7"/>
      <c r="H135" s="7"/>
      <c r="I135" s="7"/>
      <c r="J135" s="7"/>
      <c r="K135" s="11"/>
    </row>
    <row r="136" spans="1:11" hidden="1">
      <c r="A136" s="18" t="s">
        <v>262</v>
      </c>
      <c r="B136" s="19" t="s">
        <v>263</v>
      </c>
      <c r="C136" s="9" t="str">
        <f>IFERROR(VLOOKUP(A136,'Product Categories for FG'!A:A,1,FALSE),"missing")</f>
        <v>2511-0134</v>
      </c>
      <c r="D136" s="8"/>
      <c r="E136" s="8"/>
      <c r="F136" s="8"/>
      <c r="G136" s="8"/>
      <c r="H136" s="8"/>
      <c r="I136" s="8"/>
      <c r="J136" s="8"/>
      <c r="K136" s="12"/>
    </row>
    <row r="137" spans="1:11" hidden="1">
      <c r="A137" s="16" t="s">
        <v>264</v>
      </c>
      <c r="B137" s="17" t="s">
        <v>265</v>
      </c>
      <c r="C137" s="9" t="str">
        <f>IFERROR(VLOOKUP(A137,'Product Categories for FG'!A:A,1,FALSE),"missing")</f>
        <v>2511-0135</v>
      </c>
      <c r="D137" s="7"/>
      <c r="E137" s="7"/>
      <c r="F137" s="7"/>
      <c r="G137" s="7"/>
      <c r="H137" s="7"/>
      <c r="I137" s="7"/>
      <c r="J137" s="7"/>
      <c r="K137" s="11"/>
    </row>
    <row r="138" spans="1:11" hidden="1">
      <c r="A138" s="18" t="s">
        <v>266</v>
      </c>
      <c r="B138" s="19" t="s">
        <v>267</v>
      </c>
      <c r="C138" s="9" t="str">
        <f>IFERROR(VLOOKUP(A138,'Product Categories for FG'!A:A,1,FALSE),"missing")</f>
        <v>2511-0136</v>
      </c>
      <c r="D138" s="8"/>
      <c r="E138" s="8"/>
      <c r="F138" s="8"/>
      <c r="G138" s="8"/>
      <c r="H138" s="8"/>
      <c r="I138" s="8"/>
      <c r="J138" s="8"/>
      <c r="K138" s="12"/>
    </row>
    <row r="139" spans="1:11" hidden="1">
      <c r="A139" s="16" t="s">
        <v>268</v>
      </c>
      <c r="B139" s="17" t="s">
        <v>269</v>
      </c>
      <c r="C139" s="9" t="str">
        <f>IFERROR(VLOOKUP(A139,'Product Categories for FG'!A:A,1,FALSE),"missing")</f>
        <v>2511-0137</v>
      </c>
      <c r="D139" s="7"/>
      <c r="E139" s="7"/>
      <c r="F139" s="7"/>
      <c r="G139" s="7"/>
      <c r="H139" s="7"/>
      <c r="I139" s="7"/>
      <c r="J139" s="7"/>
      <c r="K139" s="11"/>
    </row>
    <row r="140" spans="1:11" hidden="1">
      <c r="A140" s="18" t="s">
        <v>270</v>
      </c>
      <c r="B140" s="19" t="s">
        <v>271</v>
      </c>
      <c r="C140" s="9" t="str">
        <f>IFERROR(VLOOKUP(A140,'Product Categories for FG'!A:A,1,FALSE),"missing")</f>
        <v>2511-0138</v>
      </c>
      <c r="D140" s="8"/>
      <c r="E140" s="8"/>
      <c r="F140" s="8"/>
      <c r="G140" s="8"/>
      <c r="H140" s="8"/>
      <c r="I140" s="8"/>
      <c r="J140" s="8"/>
      <c r="K140" s="12"/>
    </row>
    <row r="141" spans="1:11" hidden="1">
      <c r="A141" s="16" t="s">
        <v>272</v>
      </c>
      <c r="B141" s="17" t="s">
        <v>273</v>
      </c>
      <c r="C141" s="9" t="str">
        <f>IFERROR(VLOOKUP(A141,'Product Categories for FG'!A:A,1,FALSE),"missing")</f>
        <v>2511-0139</v>
      </c>
      <c r="D141" s="7"/>
      <c r="E141" s="7"/>
      <c r="F141" s="7"/>
      <c r="G141" s="7"/>
      <c r="H141" s="7"/>
      <c r="I141" s="7"/>
      <c r="J141" s="7"/>
      <c r="K141" s="11"/>
    </row>
    <row r="142" spans="1:11" hidden="1">
      <c r="A142" s="18" t="s">
        <v>1126</v>
      </c>
      <c r="B142" s="19" t="s">
        <v>1127</v>
      </c>
      <c r="C142" s="9" t="str">
        <f>IFERROR(VLOOKUP(A142,'Product Categories for FG'!A:A,1,FALSE),"missing")</f>
        <v>2511-0140</v>
      </c>
      <c r="D142" s="8"/>
      <c r="E142" s="8"/>
      <c r="F142" s="8"/>
      <c r="G142" s="8"/>
      <c r="H142" s="8"/>
      <c r="I142" s="8"/>
      <c r="J142" s="8"/>
      <c r="K142" s="12"/>
    </row>
    <row r="143" spans="1:11" hidden="1">
      <c r="A143" s="16" t="s">
        <v>274</v>
      </c>
      <c r="B143" s="17" t="s">
        <v>275</v>
      </c>
      <c r="C143" s="9" t="str">
        <f>IFERROR(VLOOKUP(A143,'Product Categories for FG'!A:A,1,FALSE),"missing")</f>
        <v>2511-0141</v>
      </c>
      <c r="D143" s="7"/>
      <c r="E143" s="7"/>
      <c r="F143" s="7"/>
      <c r="G143" s="7"/>
      <c r="H143" s="7"/>
      <c r="I143" s="7"/>
      <c r="J143" s="7"/>
      <c r="K143" s="11"/>
    </row>
    <row r="144" spans="1:11" hidden="1">
      <c r="A144" s="18" t="s">
        <v>276</v>
      </c>
      <c r="B144" s="19" t="s">
        <v>277</v>
      </c>
      <c r="C144" s="9" t="str">
        <f>IFERROR(VLOOKUP(A144,'Product Categories for FG'!A:A,1,FALSE),"missing")</f>
        <v>2511-0142</v>
      </c>
      <c r="D144" s="8"/>
      <c r="E144" s="8"/>
      <c r="F144" s="8"/>
      <c r="G144" s="8"/>
      <c r="H144" s="8"/>
      <c r="I144" s="8"/>
      <c r="J144" s="8"/>
      <c r="K144" s="12"/>
    </row>
    <row r="145" spans="1:11" hidden="1">
      <c r="A145" s="16" t="s">
        <v>278</v>
      </c>
      <c r="B145" s="17" t="s">
        <v>279</v>
      </c>
      <c r="C145" s="9" t="str">
        <f>IFERROR(VLOOKUP(A145,'Product Categories for FG'!A:A,1,FALSE),"missing")</f>
        <v>2511-0143</v>
      </c>
      <c r="D145" s="7"/>
      <c r="E145" s="7"/>
      <c r="F145" s="7"/>
      <c r="G145" s="7"/>
      <c r="H145" s="7"/>
      <c r="I145" s="7"/>
      <c r="J145" s="7"/>
      <c r="K145" s="11"/>
    </row>
    <row r="146" spans="1:11" hidden="1">
      <c r="A146" s="18" t="s">
        <v>280</v>
      </c>
      <c r="B146" s="19" t="s">
        <v>281</v>
      </c>
      <c r="C146" s="9" t="str">
        <f>IFERROR(VLOOKUP(A146,'Product Categories for FG'!A:A,1,FALSE),"missing")</f>
        <v>2511-0144</v>
      </c>
      <c r="D146" s="7"/>
      <c r="E146" s="7"/>
      <c r="F146" s="7"/>
      <c r="G146" s="7"/>
      <c r="H146" s="7"/>
      <c r="I146" s="7"/>
      <c r="J146" s="7"/>
      <c r="K146" s="11"/>
    </row>
    <row r="147" spans="1:11" hidden="1">
      <c r="A147" s="16" t="s">
        <v>282</v>
      </c>
      <c r="B147" s="17" t="s">
        <v>283</v>
      </c>
      <c r="C147" s="9" t="str">
        <f>IFERROR(VLOOKUP(A147,'Product Categories for FG'!A:A,1,FALSE),"missing")</f>
        <v>2511-0145</v>
      </c>
      <c r="D147" s="8"/>
      <c r="E147" s="8"/>
      <c r="F147" s="8"/>
      <c r="G147" s="8"/>
      <c r="H147" s="8"/>
      <c r="I147" s="8"/>
      <c r="J147" s="8"/>
      <c r="K147" s="12"/>
    </row>
    <row r="148" spans="1:11" hidden="1">
      <c r="A148" s="18" t="s">
        <v>284</v>
      </c>
      <c r="B148" s="19" t="s">
        <v>285</v>
      </c>
      <c r="C148" s="9" t="str">
        <f>IFERROR(VLOOKUP(A148,'Product Categories for FG'!A:A,1,FALSE),"missing")</f>
        <v>2511-0146</v>
      </c>
      <c r="D148" s="7"/>
      <c r="E148" s="7"/>
      <c r="F148" s="7"/>
      <c r="G148" s="7"/>
      <c r="H148" s="7"/>
      <c r="I148" s="7"/>
      <c r="J148" s="7"/>
      <c r="K148" s="11"/>
    </row>
    <row r="149" spans="1:11">
      <c r="A149" s="16" t="s">
        <v>1463</v>
      </c>
      <c r="B149" s="17" t="s">
        <v>1093</v>
      </c>
      <c r="C149" s="9" t="str">
        <f>IFERROR(VLOOKUP(A149,'Product Categories for FG'!A:A,1,FALSE),"missing")</f>
        <v>missing</v>
      </c>
      <c r="D149" s="8"/>
      <c r="E149" s="8"/>
      <c r="F149" s="8"/>
      <c r="G149" s="8"/>
      <c r="H149" s="8"/>
      <c r="I149" s="8"/>
      <c r="J149" s="8"/>
      <c r="K149" s="12"/>
    </row>
    <row r="150" spans="1:11" hidden="1">
      <c r="A150" s="18" t="s">
        <v>1128</v>
      </c>
      <c r="B150" s="19" t="s">
        <v>1129</v>
      </c>
      <c r="C150" s="9" t="str">
        <f>IFERROR(VLOOKUP(A150,'Product Categories for FG'!A:A,1,FALSE),"missing")</f>
        <v>2511-0148</v>
      </c>
      <c r="D150" s="7"/>
      <c r="E150" s="7"/>
      <c r="F150" s="7"/>
      <c r="G150" s="7"/>
      <c r="H150" s="7"/>
      <c r="I150" s="7"/>
      <c r="J150" s="7"/>
      <c r="K150" s="11"/>
    </row>
    <row r="151" spans="1:11" hidden="1">
      <c r="A151" s="16" t="s">
        <v>1130</v>
      </c>
      <c r="B151" s="17" t="s">
        <v>1131</v>
      </c>
      <c r="C151" s="9" t="str">
        <f>IFERROR(VLOOKUP(A151,'Product Categories for FG'!A:A,1,FALSE),"missing")</f>
        <v>2511-0149</v>
      </c>
      <c r="D151" s="8"/>
      <c r="E151" s="8"/>
      <c r="F151" s="8"/>
      <c r="G151" s="8"/>
      <c r="H151" s="8"/>
      <c r="I151" s="8"/>
      <c r="J151" s="8"/>
      <c r="K151" s="12"/>
    </row>
    <row r="152" spans="1:11" hidden="1">
      <c r="A152" s="18" t="s">
        <v>286</v>
      </c>
      <c r="B152" s="19" t="s">
        <v>287</v>
      </c>
      <c r="C152" s="9" t="str">
        <f>IFERROR(VLOOKUP(A152,'Product Categories for FG'!A:A,1,FALSE),"missing")</f>
        <v>2511-0150</v>
      </c>
      <c r="D152" s="7"/>
      <c r="E152" s="7"/>
      <c r="F152" s="7"/>
      <c r="G152" s="7"/>
      <c r="H152" s="7"/>
      <c r="I152" s="7"/>
      <c r="J152" s="7"/>
      <c r="K152" s="11"/>
    </row>
    <row r="153" spans="1:11" hidden="1">
      <c r="A153" s="16" t="s">
        <v>288</v>
      </c>
      <c r="B153" s="17" t="s">
        <v>289</v>
      </c>
      <c r="C153" s="9" t="str">
        <f>IFERROR(VLOOKUP(A153,'Product Categories for FG'!A:A,1,FALSE),"missing")</f>
        <v>2511-0151</v>
      </c>
      <c r="D153" s="8"/>
      <c r="E153" s="8"/>
      <c r="F153" s="8"/>
      <c r="G153" s="8"/>
      <c r="H153" s="8"/>
      <c r="I153" s="8"/>
      <c r="J153" s="8"/>
      <c r="K153" s="12"/>
    </row>
    <row r="154" spans="1:11" hidden="1">
      <c r="A154" s="18" t="s">
        <v>1132</v>
      </c>
      <c r="B154" s="19" t="s">
        <v>1133</v>
      </c>
      <c r="C154" s="9" t="str">
        <f>IFERROR(VLOOKUP(A154,'Product Categories for FG'!A:A,1,FALSE),"missing")</f>
        <v>2511-0152</v>
      </c>
      <c r="D154" s="7"/>
      <c r="E154" s="7"/>
      <c r="F154" s="7"/>
      <c r="G154" s="7"/>
      <c r="H154" s="7"/>
      <c r="I154" s="7"/>
      <c r="J154" s="7"/>
      <c r="K154" s="11"/>
    </row>
    <row r="155" spans="1:11" hidden="1">
      <c r="A155" s="16" t="s">
        <v>1312</v>
      </c>
      <c r="B155" s="17" t="s">
        <v>1313</v>
      </c>
      <c r="C155" s="9" t="str">
        <f>IFERROR(VLOOKUP(A155,'Product Categories for FG'!A:A,1,FALSE),"missing")</f>
        <v>2511-0153</v>
      </c>
      <c r="D155" s="8"/>
      <c r="E155" s="8"/>
      <c r="F155" s="8"/>
      <c r="G155" s="8"/>
      <c r="H155" s="8"/>
      <c r="I155" s="8"/>
      <c r="J155" s="8"/>
      <c r="K155" s="12"/>
    </row>
    <row r="156" spans="1:11" hidden="1">
      <c r="A156" s="18" t="s">
        <v>290</v>
      </c>
      <c r="B156" s="19" t="s">
        <v>291</v>
      </c>
      <c r="C156" s="9" t="str">
        <f>IFERROR(VLOOKUP(A156,'Product Categories for FG'!A:A,1,FALSE),"missing")</f>
        <v>2511-0154</v>
      </c>
      <c r="D156" s="7"/>
      <c r="E156" s="7"/>
      <c r="F156" s="7"/>
      <c r="G156" s="7"/>
      <c r="H156" s="7"/>
      <c r="I156" s="7"/>
      <c r="J156" s="7"/>
      <c r="K156" s="11"/>
    </row>
    <row r="157" spans="1:11" hidden="1">
      <c r="A157" s="16" t="s">
        <v>292</v>
      </c>
      <c r="B157" s="17" t="s">
        <v>293</v>
      </c>
      <c r="C157" s="9" t="str">
        <f>IFERROR(VLOOKUP(A157,'Product Categories for FG'!A:A,1,FALSE),"missing")</f>
        <v>2511-0155</v>
      </c>
      <c r="D157" s="8"/>
      <c r="E157" s="8"/>
      <c r="F157" s="8"/>
      <c r="G157" s="8"/>
      <c r="H157" s="8"/>
      <c r="I157" s="8"/>
      <c r="J157" s="8"/>
      <c r="K157" s="12"/>
    </row>
    <row r="158" spans="1:11" hidden="1">
      <c r="A158" s="18" t="s">
        <v>294</v>
      </c>
      <c r="B158" s="19" t="s">
        <v>295</v>
      </c>
      <c r="C158" s="9" t="str">
        <f>IFERROR(VLOOKUP(A158,'Product Categories for FG'!A:A,1,FALSE),"missing")</f>
        <v>2511-0156</v>
      </c>
      <c r="D158" s="7"/>
      <c r="E158" s="7"/>
      <c r="F158" s="7"/>
      <c r="G158" s="7"/>
      <c r="H158" s="7"/>
      <c r="I158" s="7"/>
      <c r="J158" s="7"/>
      <c r="K158" s="11"/>
    </row>
    <row r="159" spans="1:11" hidden="1">
      <c r="A159" s="16" t="s">
        <v>1134</v>
      </c>
      <c r="B159" s="17" t="s">
        <v>1135</v>
      </c>
      <c r="C159" s="9" t="str">
        <f>IFERROR(VLOOKUP(A159,'Product Categories for FG'!A:A,1,FALSE),"missing")</f>
        <v>2511-0157</v>
      </c>
      <c r="D159" s="8"/>
      <c r="E159" s="8"/>
      <c r="F159" s="8"/>
      <c r="G159" s="8"/>
      <c r="H159" s="8"/>
      <c r="I159" s="8"/>
      <c r="J159" s="8"/>
      <c r="K159" s="12"/>
    </row>
    <row r="160" spans="1:11" hidden="1">
      <c r="A160" s="18" t="s">
        <v>296</v>
      </c>
      <c r="B160" s="19" t="s">
        <v>297</v>
      </c>
      <c r="C160" s="9" t="str">
        <f>IFERROR(VLOOKUP(A160,'Product Categories for FG'!A:A,1,FALSE),"missing")</f>
        <v>2511-0158</v>
      </c>
      <c r="D160" s="7"/>
      <c r="E160" s="7"/>
      <c r="F160" s="7"/>
      <c r="G160" s="7"/>
      <c r="H160" s="7"/>
      <c r="I160" s="7"/>
      <c r="J160" s="7"/>
      <c r="K160" s="11"/>
    </row>
    <row r="161" spans="1:11" hidden="1">
      <c r="A161" s="16" t="s">
        <v>1136</v>
      </c>
      <c r="B161" s="17" t="s">
        <v>1137</v>
      </c>
      <c r="C161" s="9" t="str">
        <f>IFERROR(VLOOKUP(A161,'Product Categories for FG'!A:A,1,FALSE),"missing")</f>
        <v>2511-0159</v>
      </c>
      <c r="D161" s="8"/>
      <c r="E161" s="8"/>
      <c r="F161" s="8"/>
      <c r="G161" s="8"/>
      <c r="H161" s="8"/>
      <c r="I161" s="8"/>
      <c r="J161" s="8"/>
      <c r="K161" s="12"/>
    </row>
    <row r="162" spans="1:11" hidden="1">
      <c r="A162" s="18" t="s">
        <v>298</v>
      </c>
      <c r="B162" s="19" t="s">
        <v>299</v>
      </c>
      <c r="C162" s="9" t="str">
        <f>IFERROR(VLOOKUP(A162,'Product Categories for FG'!A:A,1,FALSE),"missing")</f>
        <v>2511-0160</v>
      </c>
      <c r="D162" s="7"/>
      <c r="E162" s="7"/>
      <c r="F162" s="7"/>
      <c r="G162" s="7"/>
      <c r="H162" s="7"/>
      <c r="I162" s="7"/>
      <c r="J162" s="7"/>
      <c r="K162" s="11"/>
    </row>
    <row r="163" spans="1:11" hidden="1">
      <c r="A163" s="16" t="s">
        <v>300</v>
      </c>
      <c r="B163" s="17" t="s">
        <v>301</v>
      </c>
      <c r="C163" s="9" t="str">
        <f>IFERROR(VLOOKUP(A163,'Product Categories for FG'!A:A,1,FALSE),"missing")</f>
        <v>2511-0161</v>
      </c>
      <c r="D163" s="8"/>
      <c r="E163" s="8"/>
      <c r="F163" s="8"/>
      <c r="G163" s="8"/>
      <c r="H163" s="8"/>
      <c r="I163" s="8"/>
      <c r="J163" s="8"/>
      <c r="K163" s="12"/>
    </row>
    <row r="164" spans="1:11" hidden="1">
      <c r="A164" s="18" t="s">
        <v>302</v>
      </c>
      <c r="B164" s="19" t="s">
        <v>303</v>
      </c>
      <c r="C164" s="9" t="str">
        <f>IFERROR(VLOOKUP(A164,'Product Categories for FG'!A:A,1,FALSE),"missing")</f>
        <v>2511-0162</v>
      </c>
      <c r="D164" s="7"/>
      <c r="E164" s="7"/>
      <c r="F164" s="7"/>
      <c r="G164" s="7"/>
      <c r="H164" s="7"/>
      <c r="I164" s="7"/>
      <c r="J164" s="7"/>
      <c r="K164" s="11"/>
    </row>
    <row r="165" spans="1:11" hidden="1">
      <c r="A165" s="16" t="s">
        <v>304</v>
      </c>
      <c r="B165" s="17" t="s">
        <v>305</v>
      </c>
      <c r="C165" s="9" t="str">
        <f>IFERROR(VLOOKUP(A165,'Product Categories for FG'!A:A,1,FALSE),"missing")</f>
        <v>2511-0163</v>
      </c>
      <c r="D165" s="8"/>
      <c r="E165" s="8"/>
      <c r="F165" s="8"/>
      <c r="G165" s="8"/>
      <c r="H165" s="8"/>
      <c r="I165" s="8"/>
      <c r="J165" s="8"/>
      <c r="K165" s="12"/>
    </row>
    <row r="166" spans="1:11" hidden="1">
      <c r="A166" s="18" t="s">
        <v>306</v>
      </c>
      <c r="B166" s="19" t="s">
        <v>307</v>
      </c>
      <c r="C166" s="9" t="str">
        <f>IFERROR(VLOOKUP(A166,'Product Categories for FG'!A:A,1,FALSE),"missing")</f>
        <v>2511-0164</v>
      </c>
      <c r="D166" s="7"/>
      <c r="E166" s="7"/>
      <c r="F166" s="7"/>
      <c r="G166" s="7"/>
      <c r="H166" s="7"/>
      <c r="I166" s="7"/>
      <c r="J166" s="7"/>
      <c r="K166" s="11"/>
    </row>
    <row r="167" spans="1:11" hidden="1">
      <c r="A167" s="16" t="s">
        <v>308</v>
      </c>
      <c r="B167" s="17" t="s">
        <v>309</v>
      </c>
      <c r="C167" s="9" t="str">
        <f>IFERROR(VLOOKUP(A167,'Product Categories for FG'!A:A,1,FALSE),"missing")</f>
        <v>2511-0165</v>
      </c>
      <c r="D167" s="8"/>
      <c r="E167" s="8"/>
      <c r="F167" s="8"/>
      <c r="G167" s="8"/>
      <c r="H167" s="8"/>
      <c r="I167" s="8"/>
      <c r="J167" s="8"/>
      <c r="K167" s="12"/>
    </row>
    <row r="168" spans="1:11" hidden="1">
      <c r="A168" s="18" t="s">
        <v>310</v>
      </c>
      <c r="B168" s="19" t="s">
        <v>311</v>
      </c>
      <c r="C168" s="9" t="str">
        <f>IFERROR(VLOOKUP(A168,'Product Categories for FG'!A:A,1,FALSE),"missing")</f>
        <v>2511-0166</v>
      </c>
      <c r="D168" s="7"/>
      <c r="E168" s="7"/>
      <c r="F168" s="7"/>
      <c r="G168" s="7"/>
      <c r="H168" s="7"/>
      <c r="I168" s="7"/>
      <c r="J168" s="7"/>
      <c r="K168" s="11"/>
    </row>
    <row r="169" spans="1:11" hidden="1">
      <c r="A169" s="16" t="s">
        <v>312</v>
      </c>
      <c r="B169" s="17" t="s">
        <v>313</v>
      </c>
      <c r="C169" s="9" t="str">
        <f>IFERROR(VLOOKUP(A169,'Product Categories for FG'!A:A,1,FALSE),"missing")</f>
        <v>2511-0167</v>
      </c>
      <c r="D169" s="8"/>
      <c r="E169" s="8"/>
      <c r="F169" s="8"/>
      <c r="G169" s="8"/>
      <c r="H169" s="8"/>
      <c r="I169" s="8"/>
      <c r="J169" s="8"/>
      <c r="K169" s="12"/>
    </row>
    <row r="170" spans="1:11" hidden="1">
      <c r="A170" s="18" t="s">
        <v>314</v>
      </c>
      <c r="B170" s="19" t="s">
        <v>315</v>
      </c>
      <c r="C170" s="9" t="str">
        <f>IFERROR(VLOOKUP(A170,'Product Categories for FG'!A:A,1,FALSE),"missing")</f>
        <v>2511-0168</v>
      </c>
      <c r="D170" s="7"/>
      <c r="E170" s="7"/>
      <c r="F170" s="7"/>
      <c r="G170" s="7"/>
      <c r="H170" s="7"/>
      <c r="I170" s="7"/>
      <c r="J170" s="7"/>
      <c r="K170" s="11"/>
    </row>
    <row r="171" spans="1:11" hidden="1">
      <c r="A171" s="16" t="s">
        <v>316</v>
      </c>
      <c r="B171" s="17" t="s">
        <v>317</v>
      </c>
      <c r="C171" s="9" t="str">
        <f>IFERROR(VLOOKUP(A171,'Product Categories for FG'!A:A,1,FALSE),"missing")</f>
        <v>2511-0169</v>
      </c>
      <c r="D171" s="8"/>
      <c r="E171" s="8"/>
      <c r="F171" s="8"/>
      <c r="G171" s="8"/>
      <c r="H171" s="8"/>
      <c r="I171" s="8"/>
      <c r="J171" s="8"/>
      <c r="K171" s="12"/>
    </row>
    <row r="172" spans="1:11" hidden="1">
      <c r="A172" s="18" t="s">
        <v>318</v>
      </c>
      <c r="B172" s="19" t="s">
        <v>319</v>
      </c>
      <c r="C172" s="9" t="str">
        <f>IFERROR(VLOOKUP(A172,'Product Categories for FG'!A:A,1,FALSE),"missing")</f>
        <v>2511-0170</v>
      </c>
      <c r="D172" s="7"/>
      <c r="E172" s="7"/>
      <c r="F172" s="7"/>
      <c r="G172" s="7"/>
      <c r="H172" s="7"/>
      <c r="I172" s="7"/>
      <c r="J172" s="7"/>
      <c r="K172" s="11"/>
    </row>
    <row r="173" spans="1:11" hidden="1">
      <c r="A173" s="16" t="s">
        <v>320</v>
      </c>
      <c r="B173" s="17" t="s">
        <v>321</v>
      </c>
      <c r="C173" s="9" t="str">
        <f>IFERROR(VLOOKUP(A173,'Product Categories for FG'!A:A,1,FALSE),"missing")</f>
        <v>2511-0171</v>
      </c>
      <c r="D173" s="8"/>
      <c r="E173" s="8"/>
      <c r="F173" s="8"/>
      <c r="G173" s="8"/>
      <c r="H173" s="8"/>
      <c r="I173" s="8"/>
      <c r="J173" s="8"/>
      <c r="K173" s="12"/>
    </row>
    <row r="174" spans="1:11" hidden="1">
      <c r="A174" s="18" t="s">
        <v>322</v>
      </c>
      <c r="B174" s="19" t="s">
        <v>323</v>
      </c>
      <c r="C174" s="9" t="str">
        <f>IFERROR(VLOOKUP(A174,'Product Categories for FG'!A:A,1,FALSE),"missing")</f>
        <v>2511-0172</v>
      </c>
      <c r="D174" s="7"/>
      <c r="E174" s="7"/>
      <c r="F174" s="7"/>
      <c r="G174" s="7"/>
      <c r="H174" s="7"/>
      <c r="I174" s="7"/>
      <c r="J174" s="7"/>
      <c r="K174" s="11"/>
    </row>
    <row r="175" spans="1:11" hidden="1">
      <c r="A175" s="16" t="s">
        <v>324</v>
      </c>
      <c r="B175" s="17" t="s">
        <v>325</v>
      </c>
      <c r="C175" s="9" t="str">
        <f>IFERROR(VLOOKUP(A175,'Product Categories for FG'!A:A,1,FALSE),"missing")</f>
        <v>2511-0173</v>
      </c>
      <c r="D175" s="8"/>
      <c r="E175" s="8"/>
      <c r="F175" s="8"/>
      <c r="G175" s="8"/>
      <c r="H175" s="8"/>
      <c r="I175" s="8"/>
      <c r="J175" s="8"/>
      <c r="K175" s="12"/>
    </row>
    <row r="176" spans="1:11" hidden="1">
      <c r="A176" s="18" t="s">
        <v>1138</v>
      </c>
      <c r="B176" s="19" t="s">
        <v>1139</v>
      </c>
      <c r="C176" s="9" t="str">
        <f>IFERROR(VLOOKUP(A176,'Product Categories for FG'!A:A,1,FALSE),"missing")</f>
        <v>2511-0174</v>
      </c>
      <c r="D176" s="7"/>
      <c r="E176" s="7"/>
      <c r="F176" s="7"/>
      <c r="G176" s="7"/>
      <c r="H176" s="7"/>
      <c r="I176" s="7"/>
      <c r="J176" s="7"/>
      <c r="K176" s="11"/>
    </row>
    <row r="177" spans="1:11" hidden="1">
      <c r="A177" s="16" t="s">
        <v>1140</v>
      </c>
      <c r="B177" s="17" t="s">
        <v>1141</v>
      </c>
      <c r="C177" s="9" t="str">
        <f>IFERROR(VLOOKUP(A177,'Product Categories for FG'!A:A,1,FALSE),"missing")</f>
        <v>2511-0175</v>
      </c>
      <c r="D177" s="8"/>
      <c r="E177" s="8"/>
      <c r="F177" s="8"/>
      <c r="G177" s="8"/>
      <c r="H177" s="8"/>
      <c r="I177" s="8"/>
      <c r="J177" s="8"/>
      <c r="K177" s="12"/>
    </row>
    <row r="178" spans="1:11" hidden="1">
      <c r="A178" s="18" t="s">
        <v>1142</v>
      </c>
      <c r="B178" s="19" t="s">
        <v>1143</v>
      </c>
      <c r="C178" s="9" t="str">
        <f>IFERROR(VLOOKUP(A178,'Product Categories for FG'!A:A,1,FALSE),"missing")</f>
        <v>2511-0176</v>
      </c>
      <c r="D178" s="7"/>
      <c r="E178" s="7"/>
      <c r="F178" s="7"/>
      <c r="G178" s="7"/>
      <c r="H178" s="7"/>
      <c r="I178" s="7"/>
      <c r="J178" s="7"/>
      <c r="K178" s="11"/>
    </row>
    <row r="179" spans="1:11" hidden="1">
      <c r="A179" s="16" t="s">
        <v>1144</v>
      </c>
      <c r="B179" s="17" t="s">
        <v>1145</v>
      </c>
      <c r="C179" s="9" t="str">
        <f>IFERROR(VLOOKUP(A179,'Product Categories for FG'!A:A,1,FALSE),"missing")</f>
        <v>2511-0177</v>
      </c>
      <c r="D179" s="8"/>
      <c r="E179" s="8"/>
      <c r="F179" s="8"/>
      <c r="G179" s="8"/>
      <c r="H179" s="8"/>
      <c r="I179" s="8"/>
      <c r="J179" s="8"/>
      <c r="K179" s="12"/>
    </row>
    <row r="180" spans="1:11" hidden="1">
      <c r="A180" s="18" t="s">
        <v>1146</v>
      </c>
      <c r="B180" s="19" t="s">
        <v>1147</v>
      </c>
      <c r="C180" s="9" t="str">
        <f>IFERROR(VLOOKUP(A180,'Product Categories for FG'!A:A,1,FALSE),"missing")</f>
        <v>2511-0178</v>
      </c>
      <c r="D180" s="7"/>
      <c r="E180" s="7"/>
      <c r="F180" s="7"/>
      <c r="G180" s="7"/>
      <c r="H180" s="7"/>
      <c r="I180" s="7"/>
      <c r="J180" s="7"/>
      <c r="K180" s="11"/>
    </row>
    <row r="181" spans="1:11" hidden="1">
      <c r="A181" s="16" t="s">
        <v>326</v>
      </c>
      <c r="B181" s="17" t="s">
        <v>327</v>
      </c>
      <c r="C181" s="9" t="str">
        <f>IFERROR(VLOOKUP(A181,'Product Categories for FG'!A:A,1,FALSE),"missing")</f>
        <v>2511-0179</v>
      </c>
      <c r="D181" s="8"/>
      <c r="E181" s="8"/>
      <c r="F181" s="8"/>
      <c r="G181" s="8"/>
      <c r="H181" s="8"/>
      <c r="I181" s="8"/>
      <c r="J181" s="8"/>
      <c r="K181" s="12"/>
    </row>
    <row r="182" spans="1:11" hidden="1">
      <c r="A182" s="18" t="s">
        <v>1148</v>
      </c>
      <c r="B182" s="19" t="s">
        <v>1149</v>
      </c>
      <c r="C182" s="9" t="str">
        <f>IFERROR(VLOOKUP(A182,'Product Categories for FG'!A:A,1,FALSE),"missing")</f>
        <v>2511-0180</v>
      </c>
      <c r="D182" s="7"/>
      <c r="E182" s="7"/>
      <c r="F182" s="7"/>
      <c r="G182" s="7"/>
      <c r="H182" s="7"/>
      <c r="I182" s="7"/>
      <c r="J182" s="7"/>
      <c r="K182" s="11"/>
    </row>
    <row r="183" spans="1:11" hidden="1">
      <c r="A183" s="16" t="s">
        <v>1150</v>
      </c>
      <c r="B183" s="17" t="s">
        <v>1151</v>
      </c>
      <c r="C183" s="9" t="str">
        <f>IFERROR(VLOOKUP(A183,'Product Categories for FG'!A:A,1,FALSE),"missing")</f>
        <v>2511-0181</v>
      </c>
      <c r="D183" s="8"/>
      <c r="E183" s="8"/>
      <c r="F183" s="8"/>
      <c r="G183" s="8"/>
      <c r="H183" s="8"/>
      <c r="I183" s="8"/>
      <c r="J183" s="8"/>
      <c r="K183" s="12"/>
    </row>
    <row r="184" spans="1:11" hidden="1">
      <c r="A184" s="18" t="s">
        <v>1314</v>
      </c>
      <c r="B184" s="19" t="s">
        <v>1315</v>
      </c>
      <c r="C184" s="9" t="str">
        <f>IFERROR(VLOOKUP(A184,'Product Categories for FG'!A:A,1,FALSE),"missing")</f>
        <v>2511-0182</v>
      </c>
      <c r="D184" s="7"/>
      <c r="E184" s="7"/>
      <c r="F184" s="7"/>
      <c r="G184" s="7"/>
      <c r="H184" s="7"/>
      <c r="I184" s="7"/>
      <c r="J184" s="7"/>
      <c r="K184" s="11"/>
    </row>
    <row r="185" spans="1:11" hidden="1">
      <c r="A185" s="16" t="s">
        <v>1316</v>
      </c>
      <c r="B185" s="17" t="s">
        <v>1317</v>
      </c>
      <c r="C185" s="9" t="str">
        <f>IFERROR(VLOOKUP(A185,'Product Categories for FG'!A:A,1,FALSE),"missing")</f>
        <v>2511-0183</v>
      </c>
      <c r="D185" s="8"/>
      <c r="E185" s="8"/>
      <c r="F185" s="8"/>
      <c r="G185" s="8"/>
      <c r="H185" s="8"/>
      <c r="I185" s="8"/>
      <c r="J185" s="8"/>
      <c r="K185" s="12"/>
    </row>
    <row r="186" spans="1:11" hidden="1">
      <c r="A186" s="18" t="s">
        <v>328</v>
      </c>
      <c r="B186" s="19" t="s">
        <v>329</v>
      </c>
      <c r="C186" s="9" t="str">
        <f>IFERROR(VLOOKUP(A186,'Product Categories for FG'!A:A,1,FALSE),"missing")</f>
        <v>2511-0184</v>
      </c>
      <c r="D186" s="7"/>
      <c r="E186" s="7"/>
      <c r="F186" s="7"/>
      <c r="G186" s="7"/>
      <c r="H186" s="7"/>
      <c r="I186" s="7"/>
      <c r="J186" s="7"/>
      <c r="K186" s="11"/>
    </row>
    <row r="187" spans="1:11" hidden="1">
      <c r="A187" s="16" t="s">
        <v>1152</v>
      </c>
      <c r="B187" s="17" t="s">
        <v>1153</v>
      </c>
      <c r="C187" s="9" t="str">
        <f>IFERROR(VLOOKUP(A187,'Product Categories for FG'!A:A,1,FALSE),"missing")</f>
        <v>2511-0185</v>
      </c>
      <c r="D187" s="8"/>
      <c r="E187" s="8"/>
      <c r="F187" s="8"/>
      <c r="G187" s="8"/>
      <c r="H187" s="8"/>
      <c r="I187" s="8"/>
      <c r="J187" s="8"/>
      <c r="K187" s="12"/>
    </row>
    <row r="188" spans="1:11" hidden="1">
      <c r="A188" s="18" t="s">
        <v>330</v>
      </c>
      <c r="B188" s="19" t="s">
        <v>331</v>
      </c>
      <c r="C188" s="9" t="str">
        <f>IFERROR(VLOOKUP(A188,'Product Categories for FG'!A:A,1,FALSE),"missing")</f>
        <v>2511-0186</v>
      </c>
      <c r="D188" s="7"/>
      <c r="E188" s="7"/>
      <c r="F188" s="7"/>
      <c r="G188" s="7"/>
      <c r="H188" s="7"/>
      <c r="I188" s="7"/>
      <c r="J188" s="7"/>
      <c r="K188" s="11"/>
    </row>
    <row r="189" spans="1:11" hidden="1">
      <c r="A189" s="16" t="s">
        <v>332</v>
      </c>
      <c r="B189" s="17" t="s">
        <v>333</v>
      </c>
      <c r="C189" s="9" t="str">
        <f>IFERROR(VLOOKUP(A189,'Product Categories for FG'!A:A,1,FALSE),"missing")</f>
        <v>2511-0187</v>
      </c>
      <c r="D189" s="8"/>
      <c r="E189" s="8"/>
      <c r="F189" s="8"/>
      <c r="G189" s="8"/>
      <c r="H189" s="8"/>
      <c r="I189" s="8"/>
      <c r="J189" s="8"/>
      <c r="K189" s="12"/>
    </row>
    <row r="190" spans="1:11" hidden="1">
      <c r="A190" s="18" t="s">
        <v>334</v>
      </c>
      <c r="B190" s="19" t="s">
        <v>335</v>
      </c>
      <c r="C190" s="9" t="str">
        <f>IFERROR(VLOOKUP(A190,'Product Categories for FG'!A:A,1,FALSE),"missing")</f>
        <v>2511-0188</v>
      </c>
      <c r="D190" s="7"/>
      <c r="E190" s="7"/>
      <c r="F190" s="7"/>
      <c r="G190" s="7"/>
      <c r="H190" s="7"/>
      <c r="I190" s="7"/>
      <c r="J190" s="7"/>
      <c r="K190" s="11"/>
    </row>
    <row r="191" spans="1:11" hidden="1">
      <c r="A191" s="16" t="s">
        <v>336</v>
      </c>
      <c r="B191" s="17" t="s">
        <v>1464</v>
      </c>
      <c r="C191" s="9" t="str">
        <f>IFERROR(VLOOKUP(A191,'Product Categories for FG'!A:A,1,FALSE),"missing")</f>
        <v>2511-0189</v>
      </c>
      <c r="D191" s="8"/>
      <c r="E191" s="8"/>
      <c r="F191" s="8"/>
      <c r="G191" s="8"/>
      <c r="H191" s="8"/>
      <c r="I191" s="8"/>
      <c r="J191" s="8"/>
      <c r="K191" s="12"/>
    </row>
    <row r="192" spans="1:11" hidden="1">
      <c r="A192" s="18" t="s">
        <v>338</v>
      </c>
      <c r="B192" s="19" t="s">
        <v>1465</v>
      </c>
      <c r="C192" s="9" t="str">
        <f>IFERROR(VLOOKUP(A192,'Product Categories for FG'!A:A,1,FALSE),"missing")</f>
        <v>2511-0190</v>
      </c>
      <c r="D192" s="7"/>
      <c r="E192" s="7"/>
      <c r="F192" s="7"/>
      <c r="G192" s="7"/>
      <c r="H192" s="7"/>
      <c r="I192" s="7"/>
      <c r="J192" s="7"/>
      <c r="K192" s="11"/>
    </row>
    <row r="193" spans="1:11" hidden="1">
      <c r="A193" s="16" t="s">
        <v>340</v>
      </c>
      <c r="B193" s="17" t="s">
        <v>341</v>
      </c>
      <c r="C193" s="9" t="str">
        <f>IFERROR(VLOOKUP(A193,'Product Categories for FG'!A:A,1,FALSE),"missing")</f>
        <v>2511-0191</v>
      </c>
      <c r="D193" s="8"/>
      <c r="E193" s="8"/>
      <c r="F193" s="8"/>
      <c r="G193" s="8"/>
      <c r="H193" s="8"/>
      <c r="I193" s="8"/>
      <c r="J193" s="8"/>
      <c r="K193" s="12"/>
    </row>
    <row r="194" spans="1:11" hidden="1">
      <c r="A194" s="18" t="s">
        <v>342</v>
      </c>
      <c r="B194" s="19" t="s">
        <v>343</v>
      </c>
      <c r="C194" s="9" t="str">
        <f>IFERROR(VLOOKUP(A194,'Product Categories for FG'!A:A,1,FALSE),"missing")</f>
        <v>2511-0192</v>
      </c>
      <c r="D194" s="7"/>
      <c r="E194" s="7"/>
      <c r="F194" s="7"/>
      <c r="G194" s="7"/>
      <c r="H194" s="7"/>
      <c r="I194" s="7"/>
      <c r="J194" s="7"/>
      <c r="K194" s="11"/>
    </row>
    <row r="195" spans="1:11" hidden="1">
      <c r="A195" s="16" t="s">
        <v>344</v>
      </c>
      <c r="B195" s="17" t="s">
        <v>345</v>
      </c>
      <c r="C195" s="9" t="str">
        <f>IFERROR(VLOOKUP(A195,'Product Categories for FG'!A:A,1,FALSE),"missing")</f>
        <v>2511-0193</v>
      </c>
      <c r="D195" s="8"/>
      <c r="E195" s="8"/>
      <c r="F195" s="8"/>
      <c r="G195" s="8"/>
      <c r="H195" s="8"/>
      <c r="I195" s="8"/>
      <c r="J195" s="8"/>
      <c r="K195" s="12"/>
    </row>
    <row r="196" spans="1:11" hidden="1">
      <c r="A196" s="18" t="s">
        <v>346</v>
      </c>
      <c r="B196" s="19" t="s">
        <v>347</v>
      </c>
      <c r="C196" s="9" t="str">
        <f>IFERROR(VLOOKUP(A196,'Product Categories for FG'!A:A,1,FALSE),"missing")</f>
        <v>2511-0194</v>
      </c>
      <c r="D196" s="7"/>
      <c r="E196" s="7"/>
      <c r="F196" s="7"/>
      <c r="G196" s="7"/>
      <c r="H196" s="7"/>
      <c r="I196" s="7"/>
      <c r="J196" s="7"/>
      <c r="K196" s="11"/>
    </row>
    <row r="197" spans="1:11" hidden="1">
      <c r="A197" s="16" t="s">
        <v>348</v>
      </c>
      <c r="B197" s="17" t="s">
        <v>349</v>
      </c>
      <c r="C197" s="9" t="str">
        <f>IFERROR(VLOOKUP(A197,'Product Categories for FG'!A:A,1,FALSE),"missing")</f>
        <v>2511-0195</v>
      </c>
      <c r="D197" s="8"/>
      <c r="E197" s="8"/>
      <c r="F197" s="8"/>
      <c r="G197" s="8"/>
      <c r="H197" s="8"/>
      <c r="I197" s="8"/>
      <c r="J197" s="8"/>
      <c r="K197" s="12"/>
    </row>
    <row r="198" spans="1:11" hidden="1">
      <c r="A198" s="18" t="s">
        <v>350</v>
      </c>
      <c r="B198" s="19" t="s">
        <v>351</v>
      </c>
      <c r="C198" s="9" t="str">
        <f>IFERROR(VLOOKUP(A198,'Product Categories for FG'!A:A,1,FALSE),"missing")</f>
        <v>2511-0196</v>
      </c>
      <c r="D198" s="7"/>
      <c r="E198" s="7"/>
      <c r="F198" s="7"/>
      <c r="G198" s="7"/>
      <c r="H198" s="7"/>
      <c r="I198" s="7"/>
      <c r="J198" s="7"/>
      <c r="K198" s="11"/>
    </row>
    <row r="199" spans="1:11" hidden="1">
      <c r="A199" s="16" t="s">
        <v>352</v>
      </c>
      <c r="B199" s="17" t="s">
        <v>353</v>
      </c>
      <c r="C199" s="9" t="str">
        <f>IFERROR(VLOOKUP(A199,'Product Categories for FG'!A:A,1,FALSE),"missing")</f>
        <v>2511-0197</v>
      </c>
      <c r="D199" s="8"/>
      <c r="E199" s="8"/>
      <c r="F199" s="8"/>
      <c r="G199" s="8"/>
      <c r="H199" s="8"/>
      <c r="I199" s="8"/>
      <c r="J199" s="8"/>
      <c r="K199" s="12"/>
    </row>
    <row r="200" spans="1:11" hidden="1">
      <c r="A200" s="18" t="s">
        <v>354</v>
      </c>
      <c r="B200" s="19" t="s">
        <v>355</v>
      </c>
      <c r="C200" s="9" t="str">
        <f>IFERROR(VLOOKUP(A200,'Product Categories for FG'!A:A,1,FALSE),"missing")</f>
        <v>2511-0198</v>
      </c>
      <c r="D200" s="7"/>
      <c r="E200" s="7"/>
      <c r="F200" s="7"/>
      <c r="G200" s="7"/>
      <c r="H200" s="7"/>
      <c r="I200" s="7"/>
      <c r="J200" s="7"/>
      <c r="K200" s="11"/>
    </row>
    <row r="201" spans="1:11" hidden="1">
      <c r="A201" s="16" t="s">
        <v>356</v>
      </c>
      <c r="B201" s="17" t="s">
        <v>357</v>
      </c>
      <c r="C201" s="9" t="str">
        <f>IFERROR(VLOOKUP(A201,'Product Categories for FG'!A:A,1,FALSE),"missing")</f>
        <v>2511-0199</v>
      </c>
      <c r="D201" s="8"/>
      <c r="E201" s="8"/>
      <c r="F201" s="8"/>
      <c r="G201" s="8"/>
      <c r="H201" s="8"/>
      <c r="I201" s="8"/>
      <c r="J201" s="8"/>
      <c r="K201" s="12"/>
    </row>
    <row r="202" spans="1:11" hidden="1">
      <c r="A202" s="18" t="s">
        <v>358</v>
      </c>
      <c r="B202" s="19" t="s">
        <v>359</v>
      </c>
      <c r="C202" s="9" t="str">
        <f>IFERROR(VLOOKUP(A202,'Product Categories for FG'!A:A,1,FALSE),"missing")</f>
        <v>2511-0200</v>
      </c>
      <c r="D202" s="7"/>
      <c r="E202" s="7"/>
      <c r="F202" s="7"/>
      <c r="G202" s="7"/>
      <c r="H202" s="7"/>
      <c r="I202" s="7"/>
      <c r="J202" s="7"/>
      <c r="K202" s="11"/>
    </row>
    <row r="203" spans="1:11" hidden="1">
      <c r="A203" s="16" t="s">
        <v>360</v>
      </c>
      <c r="B203" s="17" t="s">
        <v>361</v>
      </c>
      <c r="C203" s="9" t="str">
        <f>IFERROR(VLOOKUP(A203,'Product Categories for FG'!A:A,1,FALSE),"missing")</f>
        <v>2511-0201</v>
      </c>
      <c r="D203" s="8"/>
      <c r="E203" s="8"/>
      <c r="F203" s="8"/>
      <c r="G203" s="8"/>
      <c r="H203" s="8"/>
      <c r="I203" s="8"/>
      <c r="J203" s="8"/>
      <c r="K203" s="12"/>
    </row>
    <row r="204" spans="1:11" hidden="1">
      <c r="A204" s="18" t="s">
        <v>362</v>
      </c>
      <c r="B204" s="19" t="s">
        <v>363</v>
      </c>
      <c r="C204" s="9" t="str">
        <f>IFERROR(VLOOKUP(A204,'Product Categories for FG'!A:A,1,FALSE),"missing")</f>
        <v>2511-0202</v>
      </c>
      <c r="D204" s="7"/>
      <c r="E204" s="7"/>
      <c r="F204" s="7"/>
      <c r="G204" s="7"/>
      <c r="H204" s="7"/>
      <c r="I204" s="7"/>
      <c r="J204" s="7"/>
      <c r="K204" s="11"/>
    </row>
    <row r="205" spans="1:11" hidden="1">
      <c r="A205" s="16" t="s">
        <v>364</v>
      </c>
      <c r="B205" s="17" t="s">
        <v>365</v>
      </c>
      <c r="C205" s="9" t="str">
        <f>IFERROR(VLOOKUP(A205,'Product Categories for FG'!A:A,1,FALSE),"missing")</f>
        <v>2511-0204</v>
      </c>
      <c r="D205" s="8"/>
      <c r="E205" s="8"/>
      <c r="F205" s="8"/>
      <c r="G205" s="8"/>
      <c r="H205" s="8"/>
      <c r="I205" s="8"/>
      <c r="J205" s="8"/>
      <c r="K205" s="12"/>
    </row>
    <row r="206" spans="1:11" hidden="1">
      <c r="A206" s="18" t="s">
        <v>366</v>
      </c>
      <c r="B206" s="19" t="s">
        <v>1466</v>
      </c>
      <c r="C206" s="9" t="str">
        <f>IFERROR(VLOOKUP(A206,'Product Categories for FG'!A:A,1,FALSE),"missing")</f>
        <v>2511-0205</v>
      </c>
      <c r="D206" s="7"/>
      <c r="E206" s="7"/>
      <c r="F206" s="7"/>
      <c r="G206" s="7"/>
      <c r="H206" s="7"/>
      <c r="I206" s="7"/>
      <c r="J206" s="7"/>
      <c r="K206" s="11"/>
    </row>
    <row r="207" spans="1:11" hidden="1">
      <c r="A207" s="16" t="s">
        <v>1098</v>
      </c>
      <c r="B207" s="17" t="s">
        <v>1099</v>
      </c>
      <c r="C207" s="9" t="str">
        <f>IFERROR(VLOOKUP(A207,'Product Categories for FG'!A:A,1,FALSE),"missing")</f>
        <v>2511-0206</v>
      </c>
      <c r="D207" s="8"/>
      <c r="E207" s="8"/>
      <c r="F207" s="8"/>
      <c r="G207" s="8"/>
      <c r="H207" s="8"/>
      <c r="I207" s="8"/>
      <c r="J207" s="8"/>
      <c r="K207" s="12"/>
    </row>
    <row r="208" spans="1:11" hidden="1">
      <c r="A208" s="18" t="s">
        <v>368</v>
      </c>
      <c r="B208" s="19" t="s">
        <v>369</v>
      </c>
      <c r="C208" s="9" t="str">
        <f>IFERROR(VLOOKUP(A208,'Product Categories for FG'!A:A,1,FALSE),"missing")</f>
        <v>2511-0207</v>
      </c>
      <c r="D208" s="7"/>
      <c r="E208" s="7"/>
      <c r="F208" s="7"/>
      <c r="G208" s="7"/>
      <c r="H208" s="7"/>
      <c r="I208" s="7"/>
      <c r="J208" s="7"/>
      <c r="K208" s="11"/>
    </row>
    <row r="209" spans="1:11" hidden="1">
      <c r="A209" s="16" t="s">
        <v>1154</v>
      </c>
      <c r="B209" s="17" t="s">
        <v>1155</v>
      </c>
      <c r="C209" s="9" t="str">
        <f>IFERROR(VLOOKUP(A209,'Product Categories for FG'!A:A,1,FALSE),"missing")</f>
        <v>2511-0208</v>
      </c>
      <c r="D209" s="8"/>
      <c r="E209" s="8"/>
      <c r="F209" s="8"/>
      <c r="G209" s="8"/>
      <c r="H209" s="8"/>
      <c r="I209" s="8"/>
      <c r="J209" s="8"/>
      <c r="K209" s="12"/>
    </row>
    <row r="210" spans="1:11" hidden="1">
      <c r="A210" s="18" t="s">
        <v>1100</v>
      </c>
      <c r="B210" s="19" t="s">
        <v>1101</v>
      </c>
      <c r="C210" s="9" t="str">
        <f>IFERROR(VLOOKUP(A210,'Product Categories for FG'!A:A,1,FALSE),"missing")</f>
        <v>2511-0209</v>
      </c>
      <c r="D210" s="7"/>
      <c r="E210" s="7"/>
      <c r="F210" s="7"/>
      <c r="G210" s="7"/>
      <c r="H210" s="7"/>
      <c r="I210" s="7"/>
      <c r="J210" s="7"/>
      <c r="K210" s="11"/>
    </row>
    <row r="211" spans="1:11" hidden="1">
      <c r="A211" s="16" t="s">
        <v>1102</v>
      </c>
      <c r="B211" s="17" t="s">
        <v>1103</v>
      </c>
      <c r="C211" s="9" t="str">
        <f>IFERROR(VLOOKUP(A211,'Product Categories for FG'!A:A,1,FALSE),"missing")</f>
        <v>2511-0210</v>
      </c>
      <c r="D211" s="8"/>
      <c r="E211" s="8"/>
      <c r="F211" s="8"/>
      <c r="G211" s="8"/>
      <c r="H211" s="8"/>
      <c r="I211" s="8"/>
      <c r="J211" s="8"/>
      <c r="K211" s="12"/>
    </row>
    <row r="212" spans="1:11" hidden="1">
      <c r="A212" s="18" t="s">
        <v>1157</v>
      </c>
      <c r="B212" s="19" t="s">
        <v>1158</v>
      </c>
      <c r="C212" s="9" t="str">
        <f>IFERROR(VLOOKUP(A212,'Product Categories for FG'!A:A,1,FALSE),"missing")</f>
        <v>2511-0211</v>
      </c>
      <c r="D212" s="7"/>
      <c r="E212" s="7"/>
      <c r="F212" s="7"/>
      <c r="G212" s="7"/>
      <c r="H212" s="7"/>
      <c r="I212" s="7"/>
      <c r="J212" s="7"/>
      <c r="K212" s="11"/>
    </row>
    <row r="213" spans="1:11" hidden="1">
      <c r="A213" s="16" t="s">
        <v>1159</v>
      </c>
      <c r="B213" s="17" t="s">
        <v>1160</v>
      </c>
      <c r="C213" s="9" t="str">
        <f>IFERROR(VLOOKUP(A213,'Product Categories for FG'!A:A,1,FALSE),"missing")</f>
        <v>2511-0212</v>
      </c>
      <c r="D213" s="8"/>
      <c r="E213" s="8"/>
      <c r="F213" s="8"/>
      <c r="G213" s="8"/>
      <c r="H213" s="8"/>
      <c r="I213" s="8"/>
      <c r="J213" s="8"/>
      <c r="K213" s="12"/>
    </row>
    <row r="214" spans="1:11" hidden="1">
      <c r="A214" s="18" t="s">
        <v>370</v>
      </c>
      <c r="B214" s="19" t="s">
        <v>371</v>
      </c>
      <c r="C214" s="9" t="str">
        <f>IFERROR(VLOOKUP(A214,'Product Categories for FG'!A:A,1,FALSE),"missing")</f>
        <v>2511-0213</v>
      </c>
      <c r="D214" s="7"/>
      <c r="E214" s="7"/>
      <c r="F214" s="7"/>
      <c r="G214" s="7"/>
      <c r="H214" s="7"/>
      <c r="I214" s="7"/>
      <c r="J214" s="7"/>
      <c r="K214" s="11"/>
    </row>
    <row r="215" spans="1:11" hidden="1">
      <c r="A215" s="16" t="s">
        <v>372</v>
      </c>
      <c r="B215" s="17" t="s">
        <v>373</v>
      </c>
      <c r="C215" s="9" t="str">
        <f>IFERROR(VLOOKUP(A215,'Product Categories for FG'!A:A,1,FALSE),"missing")</f>
        <v>2511-0214</v>
      </c>
      <c r="D215" s="8"/>
      <c r="E215" s="8"/>
      <c r="F215" s="8"/>
      <c r="G215" s="8"/>
      <c r="H215" s="8"/>
      <c r="I215" s="8"/>
      <c r="J215" s="8"/>
      <c r="K215" s="12"/>
    </row>
    <row r="216" spans="1:11" hidden="1">
      <c r="A216" s="18" t="s">
        <v>374</v>
      </c>
      <c r="B216" s="19" t="s">
        <v>375</v>
      </c>
      <c r="C216" s="9" t="str">
        <f>IFERROR(VLOOKUP(A216,'Product Categories for FG'!A:A,1,FALSE),"missing")</f>
        <v>2511-0215</v>
      </c>
      <c r="D216" s="7"/>
      <c r="E216" s="7"/>
      <c r="F216" s="7"/>
      <c r="G216" s="7"/>
      <c r="H216" s="7"/>
      <c r="I216" s="7"/>
      <c r="J216" s="7"/>
      <c r="K216" s="11"/>
    </row>
    <row r="217" spans="1:11" hidden="1">
      <c r="A217" s="16" t="s">
        <v>376</v>
      </c>
      <c r="B217" s="17" t="s">
        <v>377</v>
      </c>
      <c r="C217" s="9" t="str">
        <f>IFERROR(VLOOKUP(A217,'Product Categories for FG'!A:A,1,FALSE),"missing")</f>
        <v>2511-0216</v>
      </c>
      <c r="D217" s="8"/>
      <c r="E217" s="8"/>
      <c r="F217" s="8"/>
      <c r="G217" s="8"/>
      <c r="H217" s="8"/>
      <c r="I217" s="8"/>
      <c r="J217" s="8"/>
      <c r="K217" s="12"/>
    </row>
    <row r="218" spans="1:11" hidden="1">
      <c r="A218" s="18" t="s">
        <v>378</v>
      </c>
      <c r="B218" s="19" t="s">
        <v>379</v>
      </c>
      <c r="C218" s="9" t="str">
        <f>IFERROR(VLOOKUP(A218,'Product Categories for FG'!A:A,1,FALSE),"missing")</f>
        <v>2511-0217</v>
      </c>
      <c r="D218" s="7"/>
      <c r="E218" s="7"/>
      <c r="F218" s="7"/>
      <c r="G218" s="7"/>
      <c r="H218" s="7"/>
      <c r="I218" s="7"/>
      <c r="J218" s="7"/>
      <c r="K218" s="11"/>
    </row>
    <row r="219" spans="1:11" hidden="1">
      <c r="A219" s="16" t="s">
        <v>380</v>
      </c>
      <c r="B219" s="17" t="s">
        <v>381</v>
      </c>
      <c r="C219" s="9" t="str">
        <f>IFERROR(VLOOKUP(A219,'Product Categories for FG'!A:A,1,FALSE),"missing")</f>
        <v>2511-0218</v>
      </c>
      <c r="D219" s="8"/>
      <c r="E219" s="8"/>
      <c r="F219" s="8"/>
      <c r="G219" s="8"/>
      <c r="H219" s="8"/>
      <c r="I219" s="8"/>
      <c r="J219" s="8"/>
      <c r="K219" s="12"/>
    </row>
    <row r="220" spans="1:11" hidden="1">
      <c r="A220" s="18" t="s">
        <v>382</v>
      </c>
      <c r="B220" s="19" t="s">
        <v>383</v>
      </c>
      <c r="C220" s="9" t="str">
        <f>IFERROR(VLOOKUP(A220,'Product Categories for FG'!A:A,1,FALSE),"missing")</f>
        <v>2511-0219</v>
      </c>
      <c r="D220" s="7"/>
      <c r="E220" s="7"/>
      <c r="F220" s="7"/>
      <c r="G220" s="7"/>
      <c r="H220" s="7"/>
      <c r="I220" s="7"/>
      <c r="J220" s="7"/>
      <c r="K220" s="11"/>
    </row>
    <row r="221" spans="1:11" hidden="1">
      <c r="A221" s="16" t="s">
        <v>384</v>
      </c>
      <c r="B221" s="17" t="s">
        <v>385</v>
      </c>
      <c r="C221" s="9" t="str">
        <f>IFERROR(VLOOKUP(A221,'Product Categories for FG'!A:A,1,FALSE),"missing")</f>
        <v>2511-0220</v>
      </c>
      <c r="D221" s="8"/>
      <c r="E221" s="8"/>
      <c r="F221" s="8"/>
      <c r="G221" s="8"/>
      <c r="H221" s="8"/>
      <c r="I221" s="8"/>
      <c r="J221" s="8"/>
      <c r="K221" s="12"/>
    </row>
    <row r="222" spans="1:11" hidden="1">
      <c r="A222" s="18" t="s">
        <v>386</v>
      </c>
      <c r="B222" s="19" t="s">
        <v>387</v>
      </c>
      <c r="C222" s="9" t="str">
        <f>IFERROR(VLOOKUP(A222,'Product Categories for FG'!A:A,1,FALSE),"missing")</f>
        <v>2511-0221</v>
      </c>
      <c r="D222" s="7"/>
      <c r="E222" s="7"/>
      <c r="F222" s="7"/>
      <c r="G222" s="7"/>
      <c r="H222" s="7"/>
      <c r="I222" s="7"/>
      <c r="J222" s="7"/>
      <c r="K222" s="11"/>
    </row>
    <row r="223" spans="1:11" hidden="1">
      <c r="A223" s="16" t="s">
        <v>388</v>
      </c>
      <c r="B223" s="17" t="s">
        <v>389</v>
      </c>
      <c r="C223" s="9" t="str">
        <f>IFERROR(VLOOKUP(A223,'Product Categories for FG'!A:A,1,FALSE),"missing")</f>
        <v>2511-0222</v>
      </c>
      <c r="D223" s="8"/>
      <c r="E223" s="8"/>
      <c r="F223" s="8"/>
      <c r="G223" s="8"/>
      <c r="H223" s="8"/>
      <c r="I223" s="8"/>
      <c r="J223" s="8"/>
      <c r="K223" s="12"/>
    </row>
    <row r="224" spans="1:11" hidden="1">
      <c r="A224" s="18" t="s">
        <v>390</v>
      </c>
      <c r="B224" s="19" t="s">
        <v>391</v>
      </c>
      <c r="C224" s="9" t="str">
        <f>IFERROR(VLOOKUP(A224,'Product Categories for FG'!A:A,1,FALSE),"missing")</f>
        <v>2511-0223</v>
      </c>
      <c r="D224" s="7"/>
      <c r="E224" s="7"/>
      <c r="F224" s="7"/>
      <c r="G224" s="7"/>
      <c r="H224" s="7"/>
      <c r="I224" s="7"/>
      <c r="J224" s="7"/>
      <c r="K224" s="11"/>
    </row>
    <row r="225" spans="1:11" hidden="1">
      <c r="A225" s="16" t="s">
        <v>392</v>
      </c>
      <c r="B225" s="17" t="s">
        <v>393</v>
      </c>
      <c r="C225" s="9" t="str">
        <f>IFERROR(VLOOKUP(A225,'Product Categories for FG'!A:A,1,FALSE),"missing")</f>
        <v>2511-0224</v>
      </c>
      <c r="D225" s="8"/>
      <c r="E225" s="8"/>
      <c r="F225" s="8"/>
      <c r="G225" s="8"/>
      <c r="H225" s="8"/>
      <c r="I225" s="8"/>
      <c r="J225" s="8"/>
      <c r="K225" s="12"/>
    </row>
    <row r="226" spans="1:11" hidden="1">
      <c r="A226" s="18" t="s">
        <v>394</v>
      </c>
      <c r="B226" s="19" t="s">
        <v>395</v>
      </c>
      <c r="C226" s="9" t="str">
        <f>IFERROR(VLOOKUP(A226,'Product Categories for FG'!A:A,1,FALSE),"missing")</f>
        <v>2511-0225</v>
      </c>
      <c r="D226" s="7"/>
      <c r="E226" s="7"/>
      <c r="F226" s="7"/>
      <c r="G226" s="7"/>
      <c r="H226" s="7"/>
      <c r="I226" s="7"/>
      <c r="J226" s="7"/>
      <c r="K226" s="11"/>
    </row>
    <row r="227" spans="1:11" hidden="1">
      <c r="A227" s="16" t="s">
        <v>396</v>
      </c>
      <c r="B227" s="17" t="s">
        <v>397</v>
      </c>
      <c r="C227" s="9" t="str">
        <f>IFERROR(VLOOKUP(A227,'Product Categories for FG'!A:A,1,FALSE),"missing")</f>
        <v>2511-0226</v>
      </c>
      <c r="D227" s="8"/>
      <c r="E227" s="8"/>
      <c r="F227" s="8"/>
      <c r="G227" s="8"/>
      <c r="H227" s="8"/>
      <c r="I227" s="8"/>
      <c r="J227" s="8"/>
      <c r="K227" s="12"/>
    </row>
    <row r="228" spans="1:11" hidden="1">
      <c r="A228" s="18" t="s">
        <v>398</v>
      </c>
      <c r="B228" s="19" t="s">
        <v>399</v>
      </c>
      <c r="C228" s="9" t="str">
        <f>IFERROR(VLOOKUP(A228,'Product Categories for FG'!A:A,1,FALSE),"missing")</f>
        <v>2511-0227</v>
      </c>
      <c r="D228" s="7"/>
      <c r="E228" s="7"/>
      <c r="F228" s="7"/>
      <c r="G228" s="7"/>
      <c r="H228" s="7"/>
      <c r="I228" s="7"/>
      <c r="J228" s="7"/>
      <c r="K228" s="11"/>
    </row>
    <row r="229" spans="1:11" hidden="1">
      <c r="A229" s="16" t="s">
        <v>400</v>
      </c>
      <c r="B229" s="17" t="s">
        <v>401</v>
      </c>
      <c r="C229" s="9" t="str">
        <f>IFERROR(VLOOKUP(A229,'Product Categories for FG'!A:A,1,FALSE),"missing")</f>
        <v>2511-0228</v>
      </c>
      <c r="D229" s="8"/>
      <c r="E229" s="8"/>
      <c r="F229" s="8"/>
      <c r="G229" s="8"/>
      <c r="H229" s="8"/>
      <c r="I229" s="8"/>
      <c r="J229" s="8"/>
      <c r="K229" s="12"/>
    </row>
    <row r="230" spans="1:11" hidden="1">
      <c r="A230" s="18" t="s">
        <v>402</v>
      </c>
      <c r="B230" s="19" t="s">
        <v>403</v>
      </c>
      <c r="C230" s="9" t="str">
        <f>IFERROR(VLOOKUP(A230,'Product Categories for FG'!A:A,1,FALSE),"missing")</f>
        <v>2511-0229</v>
      </c>
      <c r="D230" s="7"/>
      <c r="E230" s="7"/>
      <c r="F230" s="7"/>
      <c r="G230" s="7"/>
      <c r="H230" s="7"/>
      <c r="I230" s="7"/>
      <c r="J230" s="7"/>
      <c r="K230" s="11"/>
    </row>
    <row r="231" spans="1:11" hidden="1">
      <c r="A231" s="16" t="s">
        <v>404</v>
      </c>
      <c r="B231" s="17" t="s">
        <v>405</v>
      </c>
      <c r="C231" s="9" t="str">
        <f>IFERROR(VLOOKUP(A231,'Product Categories for FG'!A:A,1,FALSE),"missing")</f>
        <v>2511-0230</v>
      </c>
      <c r="D231" s="8"/>
      <c r="E231" s="8"/>
      <c r="F231" s="8"/>
      <c r="G231" s="8"/>
      <c r="H231" s="8"/>
      <c r="I231" s="8"/>
      <c r="J231" s="8"/>
      <c r="K231" s="12"/>
    </row>
    <row r="232" spans="1:11" hidden="1">
      <c r="A232" s="18" t="s">
        <v>406</v>
      </c>
      <c r="B232" s="19" t="s">
        <v>407</v>
      </c>
      <c r="C232" s="9" t="str">
        <f>IFERROR(VLOOKUP(A232,'Product Categories for FG'!A:A,1,FALSE),"missing")</f>
        <v>2511-0231</v>
      </c>
      <c r="D232" s="7"/>
      <c r="E232" s="7"/>
      <c r="F232" s="7"/>
      <c r="G232" s="7"/>
      <c r="H232" s="7"/>
      <c r="I232" s="7"/>
      <c r="J232" s="7"/>
      <c r="K232" s="11"/>
    </row>
    <row r="233" spans="1:11" hidden="1">
      <c r="A233" s="16" t="s">
        <v>408</v>
      </c>
      <c r="B233" s="17" t="s">
        <v>409</v>
      </c>
      <c r="C233" s="9" t="str">
        <f>IFERROR(VLOOKUP(A233,'Product Categories for FG'!A:A,1,FALSE),"missing")</f>
        <v>2511-0232</v>
      </c>
      <c r="D233" s="8"/>
      <c r="E233" s="8"/>
      <c r="F233" s="8"/>
      <c r="G233" s="8"/>
      <c r="H233" s="8"/>
      <c r="I233" s="8"/>
      <c r="J233" s="8"/>
      <c r="K233" s="12"/>
    </row>
    <row r="234" spans="1:11" hidden="1">
      <c r="A234" s="18" t="s">
        <v>1161</v>
      </c>
      <c r="B234" s="19" t="s">
        <v>1162</v>
      </c>
      <c r="C234" s="9" t="str">
        <f>IFERROR(VLOOKUP(A234,'Product Categories for FG'!A:A,1,FALSE),"missing")</f>
        <v>2511-0233</v>
      </c>
      <c r="D234" s="7"/>
      <c r="E234" s="7"/>
      <c r="F234" s="7"/>
      <c r="G234" s="7"/>
      <c r="H234" s="7"/>
      <c r="I234" s="7"/>
      <c r="J234" s="7"/>
      <c r="K234" s="11"/>
    </row>
    <row r="235" spans="1:11" hidden="1">
      <c r="A235" s="16" t="s">
        <v>410</v>
      </c>
      <c r="B235" s="17" t="s">
        <v>411</v>
      </c>
      <c r="C235" s="9" t="str">
        <f>IFERROR(VLOOKUP(A235,'Product Categories for FG'!A:A,1,FALSE),"missing")</f>
        <v>2511-0234</v>
      </c>
      <c r="D235" s="8"/>
      <c r="E235" s="8"/>
      <c r="F235" s="8"/>
      <c r="G235" s="8"/>
      <c r="H235" s="8"/>
      <c r="I235" s="8"/>
      <c r="J235" s="8"/>
      <c r="K235" s="12"/>
    </row>
    <row r="236" spans="1:11" hidden="1">
      <c r="A236" s="18" t="s">
        <v>412</v>
      </c>
      <c r="B236" s="19" t="s">
        <v>413</v>
      </c>
      <c r="C236" s="9" t="str">
        <f>IFERROR(VLOOKUP(A236,'Product Categories for FG'!A:A,1,FALSE),"missing")</f>
        <v>2511-0235</v>
      </c>
      <c r="D236" s="7"/>
      <c r="E236" s="7"/>
      <c r="F236" s="7"/>
      <c r="G236" s="7"/>
      <c r="H236" s="7"/>
      <c r="I236" s="7"/>
      <c r="J236" s="7"/>
      <c r="K236" s="11"/>
    </row>
    <row r="237" spans="1:11" hidden="1">
      <c r="A237" s="16" t="s">
        <v>414</v>
      </c>
      <c r="B237" s="17" t="s">
        <v>415</v>
      </c>
      <c r="C237" s="9" t="str">
        <f>IFERROR(VLOOKUP(A237,'Product Categories for FG'!A:A,1,FALSE),"missing")</f>
        <v>2511-0236</v>
      </c>
      <c r="D237" s="8"/>
      <c r="E237" s="8"/>
      <c r="F237" s="8"/>
      <c r="G237" s="8"/>
      <c r="H237" s="8"/>
      <c r="I237" s="8"/>
      <c r="J237" s="8"/>
      <c r="K237" s="12"/>
    </row>
    <row r="238" spans="1:11" hidden="1">
      <c r="A238" s="18" t="s">
        <v>416</v>
      </c>
      <c r="B238" s="19" t="s">
        <v>413</v>
      </c>
      <c r="C238" s="9" t="str">
        <f>IFERROR(VLOOKUP(A238,'Product Categories for FG'!A:A,1,FALSE),"missing")</f>
        <v>2511-0237</v>
      </c>
      <c r="D238" s="7"/>
      <c r="E238" s="7"/>
      <c r="F238" s="7"/>
      <c r="G238" s="7"/>
      <c r="H238" s="7"/>
      <c r="I238" s="7"/>
      <c r="J238" s="7"/>
      <c r="K238" s="11"/>
    </row>
    <row r="239" spans="1:11" hidden="1">
      <c r="A239" s="16" t="s">
        <v>1163</v>
      </c>
      <c r="B239" s="17" t="s">
        <v>1164</v>
      </c>
      <c r="C239" s="9" t="str">
        <f>IFERROR(VLOOKUP(A239,'Product Categories for FG'!A:A,1,FALSE),"missing")</f>
        <v>2511-0238</v>
      </c>
      <c r="D239" s="8"/>
      <c r="E239" s="8"/>
      <c r="F239" s="8"/>
      <c r="G239" s="8"/>
      <c r="H239" s="8"/>
      <c r="I239" s="8"/>
      <c r="J239" s="8"/>
      <c r="K239" s="12"/>
    </row>
    <row r="240" spans="1:11" hidden="1">
      <c r="A240" s="18" t="s">
        <v>417</v>
      </c>
      <c r="B240" s="19" t="s">
        <v>1467</v>
      </c>
      <c r="C240" s="9" t="str">
        <f>IFERROR(VLOOKUP(A240,'Product Categories for FG'!A:A,1,FALSE),"missing")</f>
        <v>2511-0239</v>
      </c>
      <c r="D240" s="7"/>
      <c r="E240" s="7"/>
      <c r="F240" s="7"/>
      <c r="G240" s="7"/>
      <c r="H240" s="7"/>
      <c r="I240" s="7"/>
      <c r="J240" s="7"/>
      <c r="K240" s="11"/>
    </row>
    <row r="241" spans="1:11" hidden="1">
      <c r="A241" s="16" t="s">
        <v>419</v>
      </c>
      <c r="B241" s="17" t="s">
        <v>1468</v>
      </c>
      <c r="C241" s="9" t="str">
        <f>IFERROR(VLOOKUP(A241,'Product Categories for FG'!A:A,1,FALSE),"missing")</f>
        <v>2511-0240</v>
      </c>
      <c r="D241" s="8"/>
      <c r="E241" s="8"/>
      <c r="F241" s="8"/>
      <c r="G241" s="8"/>
      <c r="H241" s="8"/>
      <c r="I241" s="8"/>
      <c r="J241" s="8"/>
      <c r="K241" s="12"/>
    </row>
    <row r="242" spans="1:11" hidden="1">
      <c r="A242" s="18" t="s">
        <v>421</v>
      </c>
      <c r="B242" s="19" t="s">
        <v>422</v>
      </c>
      <c r="C242" s="9" t="str">
        <f>IFERROR(VLOOKUP(A242,'Product Categories for FG'!A:A,1,FALSE),"missing")</f>
        <v>2511-0241</v>
      </c>
      <c r="D242" s="7"/>
      <c r="E242" s="7"/>
      <c r="F242" s="7"/>
      <c r="G242" s="7"/>
      <c r="H242" s="7"/>
      <c r="I242" s="7"/>
      <c r="J242" s="7"/>
      <c r="K242" s="11"/>
    </row>
    <row r="243" spans="1:11" hidden="1">
      <c r="A243" s="16" t="s">
        <v>423</v>
      </c>
      <c r="B243" s="17" t="s">
        <v>424</v>
      </c>
      <c r="C243" s="9" t="str">
        <f>IFERROR(VLOOKUP(A243,'Product Categories for FG'!A:A,1,FALSE),"missing")</f>
        <v>2511-0242</v>
      </c>
      <c r="D243" s="8"/>
      <c r="E243" s="8"/>
      <c r="F243" s="8"/>
      <c r="G243" s="8"/>
      <c r="H243" s="8"/>
      <c r="I243" s="8"/>
      <c r="J243" s="8"/>
      <c r="K243" s="12"/>
    </row>
    <row r="244" spans="1:11" hidden="1">
      <c r="A244" s="18" t="s">
        <v>425</v>
      </c>
      <c r="B244" s="19" t="s">
        <v>426</v>
      </c>
      <c r="C244" s="9" t="str">
        <f>IFERROR(VLOOKUP(A244,'Product Categories for FG'!A:A,1,FALSE),"missing")</f>
        <v>2511-0243</v>
      </c>
      <c r="D244" s="7"/>
      <c r="E244" s="7"/>
      <c r="F244" s="7"/>
      <c r="G244" s="7"/>
      <c r="H244" s="7"/>
      <c r="I244" s="7"/>
      <c r="J244" s="7"/>
      <c r="K244" s="11"/>
    </row>
    <row r="245" spans="1:11" hidden="1">
      <c r="A245" s="16" t="s">
        <v>427</v>
      </c>
      <c r="B245" s="17" t="s">
        <v>428</v>
      </c>
      <c r="C245" s="9" t="str">
        <f>IFERROR(VLOOKUP(A245,'Product Categories for FG'!A:A,1,FALSE),"missing")</f>
        <v>2511-0244</v>
      </c>
      <c r="D245" s="8"/>
      <c r="E245" s="8"/>
      <c r="F245" s="8"/>
      <c r="G245" s="8"/>
      <c r="H245" s="8"/>
      <c r="I245" s="8"/>
      <c r="J245" s="8"/>
      <c r="K245" s="12"/>
    </row>
    <row r="246" spans="1:11" hidden="1">
      <c r="A246" s="18" t="s">
        <v>429</v>
      </c>
      <c r="B246" s="19" t="s">
        <v>430</v>
      </c>
      <c r="C246" s="9" t="str">
        <f>IFERROR(VLOOKUP(A246,'Product Categories for FG'!A:A,1,FALSE),"missing")</f>
        <v>2511-0245</v>
      </c>
      <c r="D246" s="7"/>
      <c r="E246" s="7"/>
      <c r="F246" s="7"/>
      <c r="G246" s="7"/>
      <c r="H246" s="7"/>
      <c r="I246" s="7"/>
      <c r="J246" s="7"/>
      <c r="K246" s="11"/>
    </row>
    <row r="247" spans="1:11" hidden="1">
      <c r="A247" s="16" t="s">
        <v>431</v>
      </c>
      <c r="B247" s="17" t="s">
        <v>1469</v>
      </c>
      <c r="C247" s="9" t="str">
        <f>IFERROR(VLOOKUP(A247,'Product Categories for FG'!A:A,1,FALSE),"missing")</f>
        <v>2511-0246</v>
      </c>
      <c r="D247" s="8"/>
      <c r="E247" s="8"/>
      <c r="F247" s="8"/>
      <c r="G247" s="8"/>
      <c r="H247" s="8"/>
      <c r="I247" s="8"/>
      <c r="J247" s="8"/>
      <c r="K247" s="12"/>
    </row>
    <row r="248" spans="1:11" hidden="1">
      <c r="A248" s="18" t="s">
        <v>433</v>
      </c>
      <c r="B248" s="19" t="s">
        <v>1470</v>
      </c>
      <c r="C248" s="9" t="str">
        <f>IFERROR(VLOOKUP(A248,'Product Categories for FG'!A:A,1,FALSE),"missing")</f>
        <v>2511-0247</v>
      </c>
      <c r="D248" s="7"/>
      <c r="E248" s="7"/>
      <c r="F248" s="7"/>
      <c r="G248" s="7"/>
      <c r="H248" s="7"/>
      <c r="I248" s="7"/>
      <c r="J248" s="7"/>
      <c r="K248" s="11"/>
    </row>
    <row r="249" spans="1:11" hidden="1">
      <c r="A249" s="16" t="s">
        <v>435</v>
      </c>
      <c r="B249" s="17" t="s">
        <v>1471</v>
      </c>
      <c r="C249" s="9" t="str">
        <f>IFERROR(VLOOKUP(A249,'Product Categories for FG'!A:A,1,FALSE),"missing")</f>
        <v>2511-0248</v>
      </c>
      <c r="D249" s="8"/>
      <c r="E249" s="8"/>
      <c r="F249" s="8"/>
      <c r="G249" s="8"/>
      <c r="H249" s="8"/>
      <c r="I249" s="8"/>
      <c r="J249" s="8"/>
      <c r="K249" s="12"/>
    </row>
    <row r="250" spans="1:11" hidden="1">
      <c r="A250" s="18" t="s">
        <v>437</v>
      </c>
      <c r="B250" s="19" t="s">
        <v>1472</v>
      </c>
      <c r="C250" s="9" t="str">
        <f>IFERROR(VLOOKUP(A250,'Product Categories for FG'!A:A,1,FALSE),"missing")</f>
        <v>2511-0249</v>
      </c>
      <c r="D250" s="7"/>
      <c r="E250" s="7"/>
      <c r="F250" s="7"/>
      <c r="G250" s="7"/>
      <c r="H250" s="7"/>
      <c r="I250" s="7"/>
      <c r="J250" s="7"/>
      <c r="K250" s="11"/>
    </row>
    <row r="251" spans="1:11" hidden="1">
      <c r="A251" s="16" t="s">
        <v>439</v>
      </c>
      <c r="B251" s="17" t="s">
        <v>440</v>
      </c>
      <c r="C251" s="9" t="str">
        <f>IFERROR(VLOOKUP(A251,'Product Categories for FG'!A:A,1,FALSE),"missing")</f>
        <v>2511-0250</v>
      </c>
      <c r="D251" s="8"/>
      <c r="E251" s="8"/>
      <c r="F251" s="8"/>
      <c r="G251" s="8"/>
      <c r="H251" s="8"/>
      <c r="I251" s="8"/>
      <c r="J251" s="8"/>
      <c r="K251" s="12"/>
    </row>
    <row r="252" spans="1:11" hidden="1">
      <c r="A252" s="18" t="s">
        <v>441</v>
      </c>
      <c r="B252" s="19" t="s">
        <v>442</v>
      </c>
      <c r="C252" s="9" t="str">
        <f>IFERROR(VLOOKUP(A252,'Product Categories for FG'!A:A,1,FALSE),"missing")</f>
        <v>2511-0251</v>
      </c>
      <c r="D252" s="7"/>
      <c r="E252" s="7"/>
      <c r="F252" s="7"/>
      <c r="G252" s="7"/>
      <c r="H252" s="7"/>
      <c r="I252" s="7"/>
      <c r="J252" s="7"/>
      <c r="K252" s="11"/>
    </row>
    <row r="253" spans="1:11" hidden="1">
      <c r="A253" s="16" t="s">
        <v>443</v>
      </c>
      <c r="B253" s="17" t="s">
        <v>444</v>
      </c>
      <c r="C253" s="9" t="str">
        <f>IFERROR(VLOOKUP(A253,'Product Categories for FG'!A:A,1,FALSE),"missing")</f>
        <v>2511-0252</v>
      </c>
      <c r="D253" s="8"/>
      <c r="E253" s="8"/>
      <c r="F253" s="8"/>
      <c r="G253" s="8"/>
      <c r="H253" s="8"/>
      <c r="I253" s="8"/>
      <c r="J253" s="8"/>
      <c r="K253" s="12"/>
    </row>
    <row r="254" spans="1:11" hidden="1">
      <c r="A254" s="18" t="s">
        <v>445</v>
      </c>
      <c r="B254" s="19" t="s">
        <v>446</v>
      </c>
      <c r="C254" s="9" t="str">
        <f>IFERROR(VLOOKUP(A254,'Product Categories for FG'!A:A,1,FALSE),"missing")</f>
        <v>2511-0253</v>
      </c>
      <c r="D254" s="7"/>
      <c r="E254" s="7"/>
      <c r="F254" s="7"/>
      <c r="G254" s="7"/>
      <c r="H254" s="7"/>
      <c r="I254" s="7"/>
      <c r="J254" s="7"/>
      <c r="K254" s="11"/>
    </row>
    <row r="255" spans="1:11" hidden="1">
      <c r="A255" s="16" t="s">
        <v>447</v>
      </c>
      <c r="B255" s="17" t="s">
        <v>448</v>
      </c>
      <c r="C255" s="9" t="str">
        <f>IFERROR(VLOOKUP(A255,'Product Categories for FG'!A:A,1,FALSE),"missing")</f>
        <v>2511-0254</v>
      </c>
      <c r="D255" s="8"/>
      <c r="E255" s="8"/>
      <c r="F255" s="8"/>
      <c r="G255" s="8"/>
      <c r="H255" s="8"/>
      <c r="I255" s="8"/>
      <c r="J255" s="8"/>
      <c r="K255" s="12"/>
    </row>
    <row r="256" spans="1:11" hidden="1">
      <c r="A256" s="18" t="s">
        <v>449</v>
      </c>
      <c r="B256" s="19" t="s">
        <v>450</v>
      </c>
      <c r="C256" s="9" t="str">
        <f>IFERROR(VLOOKUP(A256,'Product Categories for FG'!A:A,1,FALSE),"missing")</f>
        <v>2511-0255</v>
      </c>
      <c r="D256" s="7"/>
      <c r="E256" s="7"/>
      <c r="F256" s="7"/>
      <c r="G256" s="7"/>
      <c r="H256" s="7"/>
      <c r="I256" s="7"/>
      <c r="J256" s="7"/>
      <c r="K256" s="11"/>
    </row>
    <row r="257" spans="1:11" hidden="1">
      <c r="A257" s="16" t="s">
        <v>451</v>
      </c>
      <c r="B257" s="17" t="s">
        <v>452</v>
      </c>
      <c r="C257" s="9" t="str">
        <f>IFERROR(VLOOKUP(A257,'Product Categories for FG'!A:A,1,FALSE),"missing")</f>
        <v>2511-0256</v>
      </c>
      <c r="D257" s="8"/>
      <c r="E257" s="8"/>
      <c r="F257" s="8"/>
      <c r="G257" s="8"/>
      <c r="H257" s="8"/>
      <c r="I257" s="8"/>
      <c r="J257" s="8"/>
      <c r="K257" s="12"/>
    </row>
    <row r="258" spans="1:11" hidden="1">
      <c r="A258" s="18" t="s">
        <v>453</v>
      </c>
      <c r="B258" s="19" t="s">
        <v>454</v>
      </c>
      <c r="C258" s="9" t="str">
        <f>IFERROR(VLOOKUP(A258,'Product Categories for FG'!A:A,1,FALSE),"missing")</f>
        <v>2511-0257</v>
      </c>
      <c r="D258" s="7"/>
      <c r="E258" s="7"/>
      <c r="F258" s="7"/>
      <c r="G258" s="7"/>
      <c r="H258" s="7"/>
      <c r="I258" s="7"/>
      <c r="J258" s="7"/>
      <c r="K258" s="11"/>
    </row>
    <row r="259" spans="1:11" hidden="1">
      <c r="A259" s="16" t="s">
        <v>455</v>
      </c>
      <c r="B259" s="17" t="s">
        <v>456</v>
      </c>
      <c r="C259" s="9" t="str">
        <f>IFERROR(VLOOKUP(A259,'Product Categories for FG'!A:A,1,FALSE),"missing")</f>
        <v>2511-0258</v>
      </c>
      <c r="D259" s="8"/>
      <c r="E259" s="8"/>
      <c r="F259" s="8"/>
      <c r="G259" s="8"/>
      <c r="H259" s="8"/>
      <c r="I259" s="8"/>
      <c r="J259" s="8"/>
      <c r="K259" s="12"/>
    </row>
    <row r="260" spans="1:11" hidden="1">
      <c r="A260" s="18" t="s">
        <v>457</v>
      </c>
      <c r="B260" s="19" t="s">
        <v>458</v>
      </c>
      <c r="C260" s="9" t="str">
        <f>IFERROR(VLOOKUP(A260,'Product Categories for FG'!A:A,1,FALSE),"missing")</f>
        <v>2511-0259</v>
      </c>
      <c r="D260" s="7"/>
      <c r="E260" s="7"/>
      <c r="F260" s="7"/>
      <c r="G260" s="7"/>
      <c r="H260" s="7"/>
      <c r="I260" s="7"/>
      <c r="J260" s="7"/>
      <c r="K260" s="11"/>
    </row>
    <row r="261" spans="1:11" hidden="1">
      <c r="A261" s="16" t="s">
        <v>459</v>
      </c>
      <c r="B261" s="17" t="s">
        <v>460</v>
      </c>
      <c r="C261" s="9" t="str">
        <f>IFERROR(VLOOKUP(A261,'Product Categories for FG'!A:A,1,FALSE),"missing")</f>
        <v>2511-0260</v>
      </c>
      <c r="D261" s="8"/>
      <c r="E261" s="8"/>
      <c r="F261" s="8"/>
      <c r="G261" s="8"/>
      <c r="H261" s="8"/>
      <c r="I261" s="8"/>
      <c r="J261" s="8"/>
      <c r="K261" s="12"/>
    </row>
    <row r="262" spans="1:11" hidden="1">
      <c r="A262" s="18" t="s">
        <v>461</v>
      </c>
      <c r="B262" s="19" t="s">
        <v>462</v>
      </c>
      <c r="C262" s="9" t="str">
        <f>IFERROR(VLOOKUP(A262,'Product Categories for FG'!A:A,1,FALSE),"missing")</f>
        <v>2511-0261</v>
      </c>
      <c r="D262" s="7"/>
      <c r="E262" s="7"/>
      <c r="F262" s="7"/>
      <c r="G262" s="7"/>
      <c r="H262" s="7"/>
      <c r="I262" s="7"/>
      <c r="J262" s="7"/>
      <c r="K262" s="11"/>
    </row>
    <row r="263" spans="1:11" hidden="1">
      <c r="A263" s="16" t="s">
        <v>463</v>
      </c>
      <c r="B263" s="17" t="s">
        <v>464</v>
      </c>
      <c r="C263" s="9" t="str">
        <f>IFERROR(VLOOKUP(A263,'Product Categories for FG'!A:A,1,FALSE),"missing")</f>
        <v>2511-0262</v>
      </c>
      <c r="D263" s="8"/>
      <c r="E263" s="8"/>
      <c r="F263" s="8"/>
      <c r="G263" s="8"/>
      <c r="H263" s="8"/>
      <c r="I263" s="8"/>
      <c r="J263" s="8"/>
      <c r="K263" s="12"/>
    </row>
    <row r="264" spans="1:11" hidden="1">
      <c r="A264" s="18" t="s">
        <v>465</v>
      </c>
      <c r="B264" s="19" t="s">
        <v>466</v>
      </c>
      <c r="C264" s="9" t="str">
        <f>IFERROR(VLOOKUP(A264,'Product Categories for FG'!A:A,1,FALSE),"missing")</f>
        <v>2511-0263</v>
      </c>
      <c r="D264" s="7"/>
      <c r="E264" s="7"/>
      <c r="F264" s="7"/>
      <c r="G264" s="7"/>
      <c r="H264" s="7"/>
      <c r="I264" s="7"/>
      <c r="J264" s="7"/>
      <c r="K264" s="11"/>
    </row>
    <row r="265" spans="1:11" hidden="1">
      <c r="A265" s="16" t="s">
        <v>467</v>
      </c>
      <c r="B265" s="17" t="s">
        <v>468</v>
      </c>
      <c r="C265" s="9" t="str">
        <f>IFERROR(VLOOKUP(A265,'Product Categories for FG'!A:A,1,FALSE),"missing")</f>
        <v>2511-0264</v>
      </c>
      <c r="D265" s="8"/>
      <c r="E265" s="8"/>
      <c r="F265" s="8"/>
      <c r="G265" s="8"/>
      <c r="H265" s="8"/>
      <c r="I265" s="8"/>
      <c r="J265" s="8"/>
      <c r="K265" s="12"/>
    </row>
    <row r="266" spans="1:11" hidden="1">
      <c r="A266" s="18" t="s">
        <v>469</v>
      </c>
      <c r="B266" s="19" t="s">
        <v>470</v>
      </c>
      <c r="C266" s="9" t="str">
        <f>IFERROR(VLOOKUP(A266,'Product Categories for FG'!A:A,1,FALSE),"missing")</f>
        <v>2511-0265</v>
      </c>
      <c r="D266" s="7"/>
      <c r="E266" s="7"/>
      <c r="F266" s="7"/>
      <c r="G266" s="7"/>
      <c r="H266" s="7"/>
      <c r="I266" s="7"/>
      <c r="J266" s="7"/>
      <c r="K266" s="11"/>
    </row>
    <row r="267" spans="1:11" hidden="1">
      <c r="A267" s="16" t="s">
        <v>471</v>
      </c>
      <c r="B267" s="17" t="s">
        <v>472</v>
      </c>
      <c r="C267" s="9" t="str">
        <f>IFERROR(VLOOKUP(A267,'Product Categories for FG'!A:A,1,FALSE),"missing")</f>
        <v>2511-0266</v>
      </c>
      <c r="D267" s="8"/>
      <c r="E267" s="8"/>
      <c r="F267" s="8"/>
      <c r="G267" s="8"/>
      <c r="H267" s="8"/>
      <c r="I267" s="8"/>
      <c r="J267" s="8"/>
      <c r="K267" s="12"/>
    </row>
    <row r="268" spans="1:11" hidden="1">
      <c r="A268" s="18" t="s">
        <v>473</v>
      </c>
      <c r="B268" s="19" t="s">
        <v>1473</v>
      </c>
      <c r="C268" s="9" t="str">
        <f>IFERROR(VLOOKUP(A268,'Product Categories for FG'!A:A,1,FALSE),"missing")</f>
        <v>2511-0267</v>
      </c>
      <c r="D268" s="7"/>
      <c r="E268" s="7"/>
      <c r="F268" s="7"/>
      <c r="G268" s="7"/>
      <c r="H268" s="7"/>
      <c r="I268" s="7"/>
      <c r="J268" s="7"/>
      <c r="K268" s="11"/>
    </row>
    <row r="269" spans="1:11" hidden="1">
      <c r="A269" s="16" t="s">
        <v>475</v>
      </c>
      <c r="B269" s="17" t="s">
        <v>476</v>
      </c>
      <c r="C269" s="9" t="str">
        <f>IFERROR(VLOOKUP(A269,'Product Categories for FG'!A:A,1,FALSE),"missing")</f>
        <v>2511-0268</v>
      </c>
      <c r="D269" s="8"/>
      <c r="E269" s="8"/>
      <c r="F269" s="8"/>
      <c r="G269" s="8"/>
      <c r="H269" s="8"/>
      <c r="I269" s="8"/>
      <c r="J269" s="8"/>
      <c r="K269" s="12"/>
    </row>
    <row r="270" spans="1:11" hidden="1">
      <c r="A270" s="18" t="s">
        <v>477</v>
      </c>
      <c r="B270" s="19" t="s">
        <v>478</v>
      </c>
      <c r="C270" s="9" t="str">
        <f>IFERROR(VLOOKUP(A270,'Product Categories for FG'!A:A,1,FALSE),"missing")</f>
        <v>2511-0269</v>
      </c>
    </row>
    <row r="271" spans="1:11" hidden="1">
      <c r="A271" s="16" t="s">
        <v>479</v>
      </c>
      <c r="B271" s="17" t="s">
        <v>480</v>
      </c>
      <c r="C271" s="9" t="str">
        <f>IFERROR(VLOOKUP(A271,'Product Categories for FG'!A:A,1,FALSE),"missing")</f>
        <v>2511-0270</v>
      </c>
    </row>
    <row r="272" spans="1:11" hidden="1">
      <c r="A272" s="18" t="s">
        <v>481</v>
      </c>
      <c r="B272" s="19" t="s">
        <v>482</v>
      </c>
      <c r="C272" s="9" t="str">
        <f>IFERROR(VLOOKUP(A272,'Product Categories for FG'!A:A,1,FALSE),"missing")</f>
        <v>2511-0271</v>
      </c>
    </row>
    <row r="273" spans="1:3" hidden="1">
      <c r="A273" s="16" t="s">
        <v>483</v>
      </c>
      <c r="B273" s="17" t="s">
        <v>484</v>
      </c>
      <c r="C273" s="9" t="str">
        <f>IFERROR(VLOOKUP(A273,'Product Categories for FG'!A:A,1,FALSE),"missing")</f>
        <v>2511-0272</v>
      </c>
    </row>
    <row r="274" spans="1:3" hidden="1">
      <c r="A274" s="18" t="s">
        <v>485</v>
      </c>
      <c r="B274" s="19" t="s">
        <v>486</v>
      </c>
      <c r="C274" s="9" t="str">
        <f>IFERROR(VLOOKUP(A274,'Product Categories for FG'!A:A,1,FALSE),"missing")</f>
        <v>2511-0273</v>
      </c>
    </row>
    <row r="275" spans="1:3" hidden="1">
      <c r="A275" s="16" t="s">
        <v>487</v>
      </c>
      <c r="B275" s="17" t="s">
        <v>488</v>
      </c>
      <c r="C275" s="9" t="str">
        <f>IFERROR(VLOOKUP(A275,'Product Categories for FG'!A:A,1,FALSE),"missing")</f>
        <v>2511-0274</v>
      </c>
    </row>
    <row r="276" spans="1:3" hidden="1">
      <c r="A276" s="18" t="s">
        <v>489</v>
      </c>
      <c r="B276" s="19" t="s">
        <v>490</v>
      </c>
      <c r="C276" s="9" t="str">
        <f>IFERROR(VLOOKUP(A276,'Product Categories for FG'!A:A,1,FALSE),"missing")</f>
        <v>2511-0275</v>
      </c>
    </row>
    <row r="277" spans="1:3" hidden="1">
      <c r="A277" s="16" t="s">
        <v>491</v>
      </c>
      <c r="B277" s="17" t="s">
        <v>492</v>
      </c>
      <c r="C277" s="9" t="str">
        <f>IFERROR(VLOOKUP(A277,'Product Categories for FG'!A:A,1,FALSE),"missing")</f>
        <v>2511-0276</v>
      </c>
    </row>
    <row r="278" spans="1:3" hidden="1">
      <c r="A278" s="18" t="s">
        <v>493</v>
      </c>
      <c r="B278" s="19" t="s">
        <v>494</v>
      </c>
      <c r="C278" s="9" t="str">
        <f>IFERROR(VLOOKUP(A278,'Product Categories for FG'!A:A,1,FALSE),"missing")</f>
        <v>2511-0277</v>
      </c>
    </row>
    <row r="279" spans="1:3" hidden="1">
      <c r="A279" s="16" t="s">
        <v>495</v>
      </c>
      <c r="B279" s="17" t="s">
        <v>1474</v>
      </c>
      <c r="C279" s="9" t="str">
        <f>IFERROR(VLOOKUP(A279,'Product Categories for FG'!A:A,1,FALSE),"missing")</f>
        <v>2511-0278</v>
      </c>
    </row>
    <row r="280" spans="1:3" hidden="1">
      <c r="A280" s="18" t="s">
        <v>497</v>
      </c>
      <c r="B280" s="19" t="s">
        <v>1475</v>
      </c>
      <c r="C280" s="9" t="str">
        <f>IFERROR(VLOOKUP(A280,'Product Categories for FG'!A:A,1,FALSE),"missing")</f>
        <v>2511-0279</v>
      </c>
    </row>
    <row r="281" spans="1:3" hidden="1">
      <c r="A281" s="16" t="s">
        <v>499</v>
      </c>
      <c r="B281" s="17" t="s">
        <v>500</v>
      </c>
      <c r="C281" s="9" t="str">
        <f>IFERROR(VLOOKUP(A281,'Product Categories for FG'!A:A,1,FALSE),"missing")</f>
        <v>2511-0280</v>
      </c>
    </row>
    <row r="282" spans="1:3" hidden="1">
      <c r="A282" s="18" t="s">
        <v>501</v>
      </c>
      <c r="B282" s="19"/>
      <c r="C282" s="9" t="str">
        <f>IFERROR(VLOOKUP(A282,'Product Categories for FG'!A:A,1,FALSE),"missing")</f>
        <v>2511-0281</v>
      </c>
    </row>
    <row r="283" spans="1:3" hidden="1">
      <c r="A283" s="16" t="s">
        <v>502</v>
      </c>
      <c r="B283" s="17" t="s">
        <v>503</v>
      </c>
      <c r="C283" s="9" t="str">
        <f>IFERROR(VLOOKUP(A283,'Product Categories for FG'!A:A,1,FALSE),"missing")</f>
        <v>2511-0283</v>
      </c>
    </row>
    <row r="284" spans="1:3" hidden="1">
      <c r="A284" s="18" t="s">
        <v>1104</v>
      </c>
      <c r="B284" s="19" t="s">
        <v>1105</v>
      </c>
      <c r="C284" s="9" t="str">
        <f>IFERROR(VLOOKUP(A284,'Product Categories for FG'!A:A,1,FALSE),"missing")</f>
        <v>2511-0284</v>
      </c>
    </row>
    <row r="285" spans="1:3" hidden="1">
      <c r="A285" s="16" t="s">
        <v>1106</v>
      </c>
      <c r="B285" s="17" t="s">
        <v>1107</v>
      </c>
      <c r="C285" s="9" t="str">
        <f>IFERROR(VLOOKUP(A285,'Product Categories for FG'!A:A,1,FALSE),"missing")</f>
        <v>2511-0285</v>
      </c>
    </row>
    <row r="286" spans="1:3" hidden="1">
      <c r="A286" s="18" t="s">
        <v>1108</v>
      </c>
      <c r="B286" s="19" t="s">
        <v>1109</v>
      </c>
      <c r="C286" s="9" t="str">
        <f>IFERROR(VLOOKUP(A286,'Product Categories for FG'!A:A,1,FALSE),"missing")</f>
        <v>2511-0286</v>
      </c>
    </row>
    <row r="287" spans="1:3" hidden="1">
      <c r="A287" s="16" t="s">
        <v>1110</v>
      </c>
      <c r="B287" s="17" t="s">
        <v>1111</v>
      </c>
      <c r="C287" s="9" t="str">
        <f>IFERROR(VLOOKUP(A287,'Product Categories for FG'!A:A,1,FALSE),"missing")</f>
        <v>2511-0287</v>
      </c>
    </row>
    <row r="288" spans="1:3" hidden="1">
      <c r="A288" s="18" t="s">
        <v>1112</v>
      </c>
      <c r="B288" s="19" t="s">
        <v>1113</v>
      </c>
      <c r="C288" s="9" t="str">
        <f>IFERROR(VLOOKUP(A288,'Product Categories for FG'!A:A,1,FALSE),"missing")</f>
        <v>2511-0288</v>
      </c>
    </row>
    <row r="289" spans="1:3" hidden="1">
      <c r="A289" s="16" t="s">
        <v>1114</v>
      </c>
      <c r="B289" s="17" t="s">
        <v>1115</v>
      </c>
      <c r="C289" s="9" t="str">
        <f>IFERROR(VLOOKUP(A289,'Product Categories for FG'!A:A,1,FALSE),"missing")</f>
        <v>2511-0289</v>
      </c>
    </row>
    <row r="290" spans="1:3" hidden="1">
      <c r="A290" s="18" t="s">
        <v>1116</v>
      </c>
      <c r="B290" s="19" t="s">
        <v>1117</v>
      </c>
      <c r="C290" s="9" t="str">
        <f>IFERROR(VLOOKUP(A290,'Product Categories for FG'!A:A,1,FALSE),"missing")</f>
        <v>2511-0290</v>
      </c>
    </row>
    <row r="291" spans="1:3" hidden="1">
      <c r="A291" s="16" t="s">
        <v>1118</v>
      </c>
      <c r="B291" s="17" t="s">
        <v>1119</v>
      </c>
      <c r="C291" s="9" t="str">
        <f>IFERROR(VLOOKUP(A291,'Product Categories for FG'!A:A,1,FALSE),"missing")</f>
        <v>2511-0291</v>
      </c>
    </row>
    <row r="292" spans="1:3" hidden="1">
      <c r="A292" s="18" t="s">
        <v>1120</v>
      </c>
      <c r="B292" s="19" t="s">
        <v>1121</v>
      </c>
      <c r="C292" s="9" t="str">
        <f>IFERROR(VLOOKUP(A292,'Product Categories for FG'!A:A,1,FALSE),"missing")</f>
        <v>2511-0292</v>
      </c>
    </row>
    <row r="293" spans="1:3" hidden="1">
      <c r="A293" s="16" t="s">
        <v>1122</v>
      </c>
      <c r="B293" s="17" t="s">
        <v>1123</v>
      </c>
      <c r="C293" s="9" t="str">
        <f>IFERROR(VLOOKUP(A293,'Product Categories for FG'!A:A,1,FALSE),"missing")</f>
        <v>2511-0293</v>
      </c>
    </row>
    <row r="294" spans="1:3" hidden="1">
      <c r="A294" s="18" t="s">
        <v>1124</v>
      </c>
      <c r="B294" s="19" t="s">
        <v>1125</v>
      </c>
      <c r="C294" s="9" t="str">
        <f>IFERROR(VLOOKUP(A294,'Product Categories for FG'!A:A,1,FALSE),"missing")</f>
        <v>2511-0294</v>
      </c>
    </row>
    <row r="295" spans="1:3" hidden="1">
      <c r="A295" s="16" t="s">
        <v>1165</v>
      </c>
      <c r="B295" s="17" t="s">
        <v>1166</v>
      </c>
      <c r="C295" s="9" t="str">
        <f>IFERROR(VLOOKUP(A295,'Product Categories for FG'!A:A,1,FALSE),"missing")</f>
        <v>2511-0295</v>
      </c>
    </row>
    <row r="296" spans="1:3" hidden="1">
      <c r="A296" s="18" t="s">
        <v>1167</v>
      </c>
      <c r="B296" s="19" t="s">
        <v>1168</v>
      </c>
      <c r="C296" s="9" t="str">
        <f>IFERROR(VLOOKUP(A296,'Product Categories for FG'!A:A,1,FALSE),"missing")</f>
        <v>2511-0296</v>
      </c>
    </row>
    <row r="297" spans="1:3" hidden="1">
      <c r="A297" s="16" t="s">
        <v>1170</v>
      </c>
      <c r="B297" s="17" t="s">
        <v>1171</v>
      </c>
      <c r="C297" s="9" t="str">
        <f>IFERROR(VLOOKUP(A297,'Product Categories for FG'!A:A,1,FALSE),"missing")</f>
        <v>2511-0297</v>
      </c>
    </row>
    <row r="298" spans="1:3" hidden="1">
      <c r="A298" s="18" t="s">
        <v>1172</v>
      </c>
      <c r="B298" s="19" t="s">
        <v>1171</v>
      </c>
      <c r="C298" s="9" t="str">
        <f>IFERROR(VLOOKUP(A298,'Product Categories for FG'!A:A,1,FALSE),"missing")</f>
        <v>2511-0298</v>
      </c>
    </row>
    <row r="299" spans="1:3" hidden="1">
      <c r="A299" s="16" t="s">
        <v>1173</v>
      </c>
      <c r="B299" s="17" t="s">
        <v>1171</v>
      </c>
      <c r="C299" s="9" t="str">
        <f>IFERROR(VLOOKUP(A299,'Product Categories for FG'!A:A,1,FALSE),"missing")</f>
        <v>2511-0299</v>
      </c>
    </row>
    <row r="300" spans="1:3">
      <c r="A300" s="18" t="s">
        <v>1476</v>
      </c>
      <c r="B300" s="19"/>
      <c r="C300" s="9" t="str">
        <f>IFERROR(VLOOKUP(A300,'Product Categories for FG'!A:A,1,FALSE),"missing")</f>
        <v>missing</v>
      </c>
    </row>
    <row r="301" spans="1:3" hidden="1">
      <c r="A301" s="16" t="s">
        <v>1174</v>
      </c>
      <c r="B301" s="17" t="s">
        <v>1175</v>
      </c>
      <c r="C301" s="9" t="str">
        <f>IFERROR(VLOOKUP(A301,'Product Categories for FG'!A:A,1,FALSE),"missing")</f>
        <v>2511-0301</v>
      </c>
    </row>
    <row r="302" spans="1:3" hidden="1">
      <c r="A302" s="18" t="s">
        <v>1176</v>
      </c>
      <c r="B302" s="19" t="s">
        <v>1177</v>
      </c>
      <c r="C302" s="9" t="str">
        <f>IFERROR(VLOOKUP(A302,'Product Categories for FG'!A:A,1,FALSE),"missing")</f>
        <v>2511-0302</v>
      </c>
    </row>
    <row r="303" spans="1:3" hidden="1">
      <c r="A303" s="16" t="s">
        <v>1178</v>
      </c>
      <c r="B303" s="17" t="s">
        <v>1179</v>
      </c>
      <c r="C303" s="9" t="str">
        <f>IFERROR(VLOOKUP(A303,'Product Categories for FG'!A:A,1,FALSE),"missing")</f>
        <v>2511-0303</v>
      </c>
    </row>
    <row r="304" spans="1:3" hidden="1">
      <c r="A304" s="18" t="s">
        <v>1181</v>
      </c>
      <c r="B304" s="19" t="s">
        <v>1182</v>
      </c>
      <c r="C304" s="9" t="str">
        <f>IFERROR(VLOOKUP(A304,'Product Categories for FG'!A:A,1,FALSE),"missing")</f>
        <v>2511-0304</v>
      </c>
    </row>
    <row r="305" spans="1:3" hidden="1">
      <c r="A305" s="16" t="s">
        <v>1184</v>
      </c>
      <c r="B305" s="17" t="s">
        <v>1185</v>
      </c>
      <c r="C305" s="9" t="str">
        <f>IFERROR(VLOOKUP(A305,'Product Categories for FG'!A:A,1,FALSE),"missing")</f>
        <v>2511-0305</v>
      </c>
    </row>
    <row r="306" spans="1:3" hidden="1">
      <c r="A306" s="18" t="s">
        <v>1187</v>
      </c>
      <c r="B306" s="19" t="s">
        <v>1188</v>
      </c>
      <c r="C306" s="9" t="str">
        <f>IFERROR(VLOOKUP(A306,'Product Categories for FG'!A:A,1,FALSE),"missing")</f>
        <v>2511-0306</v>
      </c>
    </row>
    <row r="307" spans="1:3" hidden="1">
      <c r="A307" s="16" t="s">
        <v>1189</v>
      </c>
      <c r="B307" s="17" t="s">
        <v>1190</v>
      </c>
      <c r="C307" s="9" t="str">
        <f>IFERROR(VLOOKUP(A307,'Product Categories for FG'!A:A,1,FALSE),"missing")</f>
        <v>2511-0307</v>
      </c>
    </row>
    <row r="308" spans="1:3" hidden="1">
      <c r="A308" s="18" t="s">
        <v>1191</v>
      </c>
      <c r="B308" s="19" t="s">
        <v>1192</v>
      </c>
      <c r="C308" s="9" t="str">
        <f>IFERROR(VLOOKUP(A308,'Product Categories for FG'!A:A,1,FALSE),"missing")</f>
        <v>2511-0308</v>
      </c>
    </row>
    <row r="309" spans="1:3" hidden="1">
      <c r="A309" s="16" t="s">
        <v>1193</v>
      </c>
      <c r="B309" s="17" t="s">
        <v>1194</v>
      </c>
      <c r="C309" s="9" t="str">
        <f>IFERROR(VLOOKUP(A309,'Product Categories for FG'!A:A,1,FALSE),"missing")</f>
        <v>2511-0309</v>
      </c>
    </row>
    <row r="310" spans="1:3" hidden="1">
      <c r="A310" s="18" t="s">
        <v>1195</v>
      </c>
      <c r="B310" s="19" t="s">
        <v>1196</v>
      </c>
      <c r="C310" s="9" t="str">
        <f>IFERROR(VLOOKUP(A310,'Product Categories for FG'!A:A,1,FALSE),"missing")</f>
        <v>2511-0310</v>
      </c>
    </row>
    <row r="311" spans="1:3" hidden="1">
      <c r="A311" s="16" t="s">
        <v>1197</v>
      </c>
      <c r="B311" s="17" t="s">
        <v>1198</v>
      </c>
      <c r="C311" s="9" t="str">
        <f>IFERROR(VLOOKUP(A311,'Product Categories for FG'!A:A,1,FALSE),"missing")</f>
        <v>2511-0311</v>
      </c>
    </row>
    <row r="312" spans="1:3" hidden="1">
      <c r="A312" s="18" t="s">
        <v>1199</v>
      </c>
      <c r="B312" s="19" t="s">
        <v>1200</v>
      </c>
      <c r="C312" s="9" t="str">
        <f>IFERROR(VLOOKUP(A312,'Product Categories for FG'!A:A,1,FALSE),"missing")</f>
        <v>2511-0312</v>
      </c>
    </row>
    <row r="313" spans="1:3" hidden="1">
      <c r="A313" s="16" t="s">
        <v>1201</v>
      </c>
      <c r="B313" s="17" t="s">
        <v>1202</v>
      </c>
      <c r="C313" s="9" t="str">
        <f>IFERROR(VLOOKUP(A313,'Product Categories for FG'!A:A,1,FALSE),"missing")</f>
        <v>2511-0313</v>
      </c>
    </row>
    <row r="314" spans="1:3" hidden="1">
      <c r="A314" s="18" t="s">
        <v>1203</v>
      </c>
      <c r="B314" s="19" t="s">
        <v>1204</v>
      </c>
      <c r="C314" s="9" t="str">
        <f>IFERROR(VLOOKUP(A314,'Product Categories for FG'!A:A,1,FALSE),"missing")</f>
        <v>2511-0314</v>
      </c>
    </row>
    <row r="315" spans="1:3" hidden="1">
      <c r="A315" s="16" t="s">
        <v>1205</v>
      </c>
      <c r="B315" s="17" t="s">
        <v>1206</v>
      </c>
      <c r="C315" s="9" t="str">
        <f>IFERROR(VLOOKUP(A315,'Product Categories for FG'!A:A,1,FALSE),"missing")</f>
        <v>2511-0315</v>
      </c>
    </row>
    <row r="316" spans="1:3" hidden="1">
      <c r="A316" s="18" t="s">
        <v>1208</v>
      </c>
      <c r="B316" s="19" t="s">
        <v>1209</v>
      </c>
      <c r="C316" s="9" t="str">
        <f>IFERROR(VLOOKUP(A316,'Product Categories for FG'!A:A,1,FALSE),"missing")</f>
        <v>2511-0316</v>
      </c>
    </row>
    <row r="317" spans="1:3" hidden="1">
      <c r="A317" s="16" t="s">
        <v>1210</v>
      </c>
      <c r="B317" s="17" t="s">
        <v>1211</v>
      </c>
      <c r="C317" s="9" t="str">
        <f>IFERROR(VLOOKUP(A317,'Product Categories for FG'!A:A,1,FALSE),"missing")</f>
        <v>2511-0317</v>
      </c>
    </row>
    <row r="318" spans="1:3" hidden="1">
      <c r="A318" s="18" t="s">
        <v>1212</v>
      </c>
      <c r="B318" s="19" t="s">
        <v>1213</v>
      </c>
      <c r="C318" s="9" t="str">
        <f>IFERROR(VLOOKUP(A318,'Product Categories for FG'!A:A,1,FALSE),"missing")</f>
        <v>2511-0318</v>
      </c>
    </row>
    <row r="319" spans="1:3" hidden="1">
      <c r="A319" s="16" t="s">
        <v>1214</v>
      </c>
      <c r="B319" s="17" t="s">
        <v>1215</v>
      </c>
      <c r="C319" s="9" t="str">
        <f>IFERROR(VLOOKUP(A319,'Product Categories for FG'!A:A,1,FALSE),"missing")</f>
        <v>2511-0320</v>
      </c>
    </row>
    <row r="320" spans="1:3" hidden="1">
      <c r="A320" s="18" t="s">
        <v>1216</v>
      </c>
      <c r="B320" s="19" t="s">
        <v>1217</v>
      </c>
      <c r="C320" s="9" t="str">
        <f>IFERROR(VLOOKUP(A320,'Product Categories for FG'!A:A,1,FALSE),"missing")</f>
        <v>2511-0321</v>
      </c>
    </row>
    <row r="321" spans="1:3" hidden="1">
      <c r="A321" s="16" t="s">
        <v>1220</v>
      </c>
      <c r="B321" s="17" t="s">
        <v>1221</v>
      </c>
      <c r="C321" s="9" t="str">
        <f>IFERROR(VLOOKUP(A321,'Product Categories for FG'!A:A,1,FALSE),"missing")</f>
        <v>2511-0322</v>
      </c>
    </row>
    <row r="322" spans="1:3" hidden="1">
      <c r="A322" s="18" t="s">
        <v>1222</v>
      </c>
      <c r="B322" s="19" t="s">
        <v>1223</v>
      </c>
      <c r="C322" s="9" t="str">
        <f>IFERROR(VLOOKUP(A322,'Product Categories for FG'!A:A,1,FALSE),"missing")</f>
        <v>2511-0323</v>
      </c>
    </row>
    <row r="323" spans="1:3" hidden="1">
      <c r="A323" s="16" t="s">
        <v>1224</v>
      </c>
      <c r="B323" s="17" t="s">
        <v>1225</v>
      </c>
      <c r="C323" s="9" t="str">
        <f>IFERROR(VLOOKUP(A323,'Product Categories for FG'!A:A,1,FALSE),"missing")</f>
        <v>2511-0324</v>
      </c>
    </row>
    <row r="324" spans="1:3" hidden="1">
      <c r="A324" s="18" t="s">
        <v>1226</v>
      </c>
      <c r="B324" s="19" t="s">
        <v>1227</v>
      </c>
      <c r="C324" s="9" t="str">
        <f>IFERROR(VLOOKUP(A324,'Product Categories for FG'!A:A,1,FALSE),"missing")</f>
        <v>2511-0325</v>
      </c>
    </row>
    <row r="325" spans="1:3" hidden="1">
      <c r="A325" s="16" t="s">
        <v>1228</v>
      </c>
      <c r="B325" s="17" t="s">
        <v>1229</v>
      </c>
      <c r="C325" s="9" t="str">
        <f>IFERROR(VLOOKUP(A325,'Product Categories for FG'!A:A,1,FALSE),"missing")</f>
        <v>2511-0326</v>
      </c>
    </row>
    <row r="326" spans="1:3" hidden="1">
      <c r="A326" s="18" t="s">
        <v>1230</v>
      </c>
      <c r="B326" s="19" t="s">
        <v>1231</v>
      </c>
      <c r="C326" s="9" t="str">
        <f>IFERROR(VLOOKUP(A326,'Product Categories for FG'!A:A,1,FALSE),"missing")</f>
        <v>2511-0327</v>
      </c>
    </row>
    <row r="327" spans="1:3" hidden="1">
      <c r="A327" s="16" t="s">
        <v>1232</v>
      </c>
      <c r="B327" s="17" t="s">
        <v>1233</v>
      </c>
      <c r="C327" s="9" t="str">
        <f>IFERROR(VLOOKUP(A327,'Product Categories for FG'!A:A,1,FALSE),"missing")</f>
        <v>2511-0328</v>
      </c>
    </row>
    <row r="328" spans="1:3" hidden="1">
      <c r="A328" s="18" t="s">
        <v>1234</v>
      </c>
      <c r="B328" s="19" t="s">
        <v>1235</v>
      </c>
      <c r="C328" s="9" t="str">
        <f>IFERROR(VLOOKUP(A328,'Product Categories for FG'!A:A,1,FALSE),"missing")</f>
        <v>2511-0329</v>
      </c>
    </row>
    <row r="329" spans="1:3" hidden="1">
      <c r="A329" s="16" t="s">
        <v>1236</v>
      </c>
      <c r="B329" s="17" t="s">
        <v>1477</v>
      </c>
      <c r="C329" s="9" t="str">
        <f>IFERROR(VLOOKUP(A329,'Product Categories for FG'!A:A,1,FALSE),"missing")</f>
        <v>2511-0330</v>
      </c>
    </row>
    <row r="330" spans="1:3" hidden="1">
      <c r="A330" s="18" t="s">
        <v>1238</v>
      </c>
      <c r="B330" s="19" t="s">
        <v>1478</v>
      </c>
      <c r="C330" s="9" t="str">
        <f>IFERROR(VLOOKUP(A330,'Product Categories for FG'!A:A,1,FALSE),"missing")</f>
        <v>2511-0331</v>
      </c>
    </row>
    <row r="331" spans="1:3" hidden="1">
      <c r="A331" s="16" t="s">
        <v>1240</v>
      </c>
      <c r="B331" s="17" t="s">
        <v>1479</v>
      </c>
      <c r="C331" s="9" t="str">
        <f>IFERROR(VLOOKUP(A331,'Product Categories for FG'!A:A,1,FALSE),"missing")</f>
        <v>2511-0332</v>
      </c>
    </row>
    <row r="332" spans="1:3" hidden="1">
      <c r="A332" s="18" t="s">
        <v>1242</v>
      </c>
      <c r="B332" s="19" t="s">
        <v>1480</v>
      </c>
      <c r="C332" s="9" t="str">
        <f>IFERROR(VLOOKUP(A332,'Product Categories for FG'!A:A,1,FALSE),"missing")</f>
        <v>2511-0333</v>
      </c>
    </row>
    <row r="333" spans="1:3" hidden="1">
      <c r="A333" s="16" t="s">
        <v>1244</v>
      </c>
      <c r="B333" s="17" t="s">
        <v>1245</v>
      </c>
      <c r="C333" s="9" t="str">
        <f>IFERROR(VLOOKUP(A333,'Product Categories for FG'!A:A,1,FALSE),"missing")</f>
        <v>2511-0334</v>
      </c>
    </row>
    <row r="334" spans="1:3" hidden="1">
      <c r="A334" s="18" t="s">
        <v>1246</v>
      </c>
      <c r="B334" s="19" t="s">
        <v>1247</v>
      </c>
      <c r="C334" s="9" t="str">
        <f>IFERROR(VLOOKUP(A334,'Product Categories for FG'!A:A,1,FALSE),"missing")</f>
        <v>2511-0335</v>
      </c>
    </row>
    <row r="335" spans="1:3" hidden="1">
      <c r="A335" s="16" t="s">
        <v>1248</v>
      </c>
      <c r="B335" s="17" t="s">
        <v>1481</v>
      </c>
      <c r="C335" s="9" t="str">
        <f>IFERROR(VLOOKUP(A335,'Product Categories for FG'!A:A,1,FALSE),"missing")</f>
        <v>2511-0336</v>
      </c>
    </row>
    <row r="336" spans="1:3" hidden="1">
      <c r="A336" s="18" t="s">
        <v>1250</v>
      </c>
      <c r="B336" s="19" t="s">
        <v>1251</v>
      </c>
      <c r="C336" s="9" t="str">
        <f>IFERROR(VLOOKUP(A336,'Product Categories for FG'!A:A,1,FALSE),"missing")</f>
        <v>2511-0337</v>
      </c>
    </row>
    <row r="337" spans="1:3" hidden="1">
      <c r="A337" s="16" t="s">
        <v>1252</v>
      </c>
      <c r="B337" s="17" t="s">
        <v>1482</v>
      </c>
      <c r="C337" s="9" t="str">
        <f>IFERROR(VLOOKUP(A337,'Product Categories for FG'!A:A,1,FALSE),"missing")</f>
        <v>2511-0338</v>
      </c>
    </row>
    <row r="338" spans="1:3" hidden="1">
      <c r="A338" s="18" t="s">
        <v>1254</v>
      </c>
      <c r="B338" s="19" t="s">
        <v>1483</v>
      </c>
      <c r="C338" s="9" t="str">
        <f>IFERROR(VLOOKUP(A338,'Product Categories for FG'!A:A,1,FALSE),"missing")</f>
        <v>2511-0339</v>
      </c>
    </row>
    <row r="339" spans="1:3" hidden="1">
      <c r="A339" s="16" t="s">
        <v>1256</v>
      </c>
      <c r="B339" s="17" t="s">
        <v>1257</v>
      </c>
      <c r="C339" s="9" t="str">
        <f>IFERROR(VLOOKUP(A339,'Product Categories for FG'!A:A,1,FALSE),"missing")</f>
        <v>2511-0340</v>
      </c>
    </row>
    <row r="340" spans="1:3" hidden="1">
      <c r="A340" s="18" t="s">
        <v>1258</v>
      </c>
      <c r="B340" s="19" t="s">
        <v>1484</v>
      </c>
      <c r="C340" s="9" t="str">
        <f>IFERROR(VLOOKUP(A340,'Product Categories for FG'!A:A,1,FALSE),"missing")</f>
        <v>2511-0341</v>
      </c>
    </row>
    <row r="341" spans="1:3" hidden="1">
      <c r="A341" s="16" t="s">
        <v>1260</v>
      </c>
      <c r="B341" s="17" t="s">
        <v>1485</v>
      </c>
      <c r="C341" s="9" t="str">
        <f>IFERROR(VLOOKUP(A341,'Product Categories for FG'!A:A,1,FALSE),"missing")</f>
        <v>2511-0342</v>
      </c>
    </row>
    <row r="342" spans="1:3" hidden="1">
      <c r="A342" s="18" t="s">
        <v>1262</v>
      </c>
      <c r="B342" s="19" t="s">
        <v>1263</v>
      </c>
      <c r="C342" s="9" t="str">
        <f>IFERROR(VLOOKUP(A342,'Product Categories for FG'!A:A,1,FALSE),"missing")</f>
        <v>2511-0343</v>
      </c>
    </row>
    <row r="343" spans="1:3" hidden="1">
      <c r="A343" s="16" t="s">
        <v>1264</v>
      </c>
      <c r="B343" s="17" t="s">
        <v>1486</v>
      </c>
      <c r="C343" s="9" t="str">
        <f>IFERROR(VLOOKUP(A343,'Product Categories for FG'!A:A,1,FALSE),"missing")</f>
        <v>2511-0344</v>
      </c>
    </row>
    <row r="344" spans="1:3" hidden="1">
      <c r="A344" s="18" t="s">
        <v>1266</v>
      </c>
      <c r="B344" s="19" t="s">
        <v>1487</v>
      </c>
      <c r="C344" s="9" t="str">
        <f>IFERROR(VLOOKUP(A344,'Product Categories for FG'!A:A,1,FALSE),"missing")</f>
        <v>2511-0345</v>
      </c>
    </row>
    <row r="345" spans="1:3" hidden="1">
      <c r="A345" s="16" t="s">
        <v>1268</v>
      </c>
      <c r="B345" s="17" t="s">
        <v>1269</v>
      </c>
      <c r="C345" s="9" t="str">
        <f>IFERROR(VLOOKUP(A345,'Product Categories for FG'!A:A,1,FALSE),"missing")</f>
        <v>2511-0346</v>
      </c>
    </row>
    <row r="346" spans="1:3" hidden="1">
      <c r="A346" s="18" t="s">
        <v>1270</v>
      </c>
      <c r="B346" s="19" t="s">
        <v>1271</v>
      </c>
      <c r="C346" s="9" t="str">
        <f>IFERROR(VLOOKUP(A346,'Product Categories for FG'!A:A,1,FALSE),"missing")</f>
        <v>2511-0347</v>
      </c>
    </row>
    <row r="347" spans="1:3" hidden="1">
      <c r="A347" s="16" t="s">
        <v>1272</v>
      </c>
      <c r="B347" s="17" t="s">
        <v>1273</v>
      </c>
      <c r="C347" s="9" t="str">
        <f>IFERROR(VLOOKUP(A347,'Product Categories for FG'!A:A,1,FALSE),"missing")</f>
        <v>2511-0348</v>
      </c>
    </row>
    <row r="348" spans="1:3" hidden="1">
      <c r="A348" s="18" t="s">
        <v>1274</v>
      </c>
      <c r="B348" s="19" t="s">
        <v>1275</v>
      </c>
      <c r="C348" s="9" t="str">
        <f>IFERROR(VLOOKUP(A348,'Product Categories for FG'!A:A,1,FALSE),"missing")</f>
        <v>2511-0349</v>
      </c>
    </row>
    <row r="349" spans="1:3" hidden="1">
      <c r="A349" s="16" t="s">
        <v>1276</v>
      </c>
      <c r="B349" s="17" t="s">
        <v>1277</v>
      </c>
      <c r="C349" s="9" t="str">
        <f>IFERROR(VLOOKUP(A349,'Product Categories for FG'!A:A,1,FALSE),"missing")</f>
        <v>2511-0350</v>
      </c>
    </row>
    <row r="350" spans="1:3" hidden="1">
      <c r="A350" s="18" t="s">
        <v>1278</v>
      </c>
      <c r="B350" s="19" t="s">
        <v>1279</v>
      </c>
      <c r="C350" s="9" t="str">
        <f>IFERROR(VLOOKUP(A350,'Product Categories for FG'!A:A,1,FALSE),"missing")</f>
        <v>2511-0351</v>
      </c>
    </row>
    <row r="351" spans="1:3" hidden="1">
      <c r="A351" s="16" t="s">
        <v>1280</v>
      </c>
      <c r="B351" s="17" t="s">
        <v>1281</v>
      </c>
      <c r="C351" s="9" t="str">
        <f>IFERROR(VLOOKUP(A351,'Product Categories for FG'!A:A,1,FALSE),"missing")</f>
        <v>2511-0352</v>
      </c>
    </row>
    <row r="352" spans="1:3" hidden="1">
      <c r="A352" s="18" t="s">
        <v>1282</v>
      </c>
      <c r="B352" s="19" t="s">
        <v>1283</v>
      </c>
      <c r="C352" s="9" t="str">
        <f>IFERROR(VLOOKUP(A352,'Product Categories for FG'!A:A,1,FALSE),"missing")</f>
        <v>2511-0353</v>
      </c>
    </row>
    <row r="353" spans="1:3" hidden="1">
      <c r="A353" s="16" t="s">
        <v>1284</v>
      </c>
      <c r="B353" s="17" t="s">
        <v>1285</v>
      </c>
      <c r="C353" s="9" t="str">
        <f>IFERROR(VLOOKUP(A353,'Product Categories for FG'!A:A,1,FALSE),"missing")</f>
        <v>2511-0354</v>
      </c>
    </row>
    <row r="354" spans="1:3" hidden="1">
      <c r="A354" s="18" t="s">
        <v>1286</v>
      </c>
      <c r="B354" s="19" t="s">
        <v>1287</v>
      </c>
      <c r="C354" s="9" t="str">
        <f>IFERROR(VLOOKUP(A354,'Product Categories for FG'!A:A,1,FALSE),"missing")</f>
        <v>2511-0355</v>
      </c>
    </row>
    <row r="355" spans="1:3" hidden="1">
      <c r="A355" s="16" t="s">
        <v>1288</v>
      </c>
      <c r="B355" s="17" t="s">
        <v>1289</v>
      </c>
      <c r="C355" s="9" t="str">
        <f>IFERROR(VLOOKUP(A355,'Product Categories for FG'!A:A,1,FALSE),"missing")</f>
        <v>2511-0356</v>
      </c>
    </row>
    <row r="356" spans="1:3" hidden="1">
      <c r="A356" s="18" t="s">
        <v>1290</v>
      </c>
      <c r="B356" s="19" t="s">
        <v>1291</v>
      </c>
      <c r="C356" s="9" t="str">
        <f>IFERROR(VLOOKUP(A356,'Product Categories for FG'!A:A,1,FALSE),"missing")</f>
        <v>2511-0357</v>
      </c>
    </row>
    <row r="357" spans="1:3" hidden="1">
      <c r="A357" s="16" t="s">
        <v>1292</v>
      </c>
      <c r="B357" s="17" t="s">
        <v>1293</v>
      </c>
      <c r="C357" s="9" t="str">
        <f>IFERROR(VLOOKUP(A357,'Product Categories for FG'!A:A,1,FALSE),"missing")</f>
        <v>2511-0358</v>
      </c>
    </row>
    <row r="358" spans="1:3" hidden="1">
      <c r="A358" s="18" t="s">
        <v>1294</v>
      </c>
      <c r="B358" s="19" t="s">
        <v>1295</v>
      </c>
      <c r="C358" s="9" t="str">
        <f>IFERROR(VLOOKUP(A358,'Product Categories for FG'!A:A,1,FALSE),"missing")</f>
        <v>2511-0359</v>
      </c>
    </row>
    <row r="359" spans="1:3" hidden="1">
      <c r="A359" s="16" t="s">
        <v>1296</v>
      </c>
      <c r="B359" s="17" t="s">
        <v>1297</v>
      </c>
      <c r="C359" s="9" t="str">
        <f>IFERROR(VLOOKUP(A359,'Product Categories for FG'!A:A,1,FALSE),"missing")</f>
        <v>2511-0360</v>
      </c>
    </row>
    <row r="360" spans="1:3" hidden="1">
      <c r="A360" s="18" t="s">
        <v>1298</v>
      </c>
      <c r="B360" s="19" t="s">
        <v>1299</v>
      </c>
      <c r="C360" s="9" t="str">
        <f>IFERROR(VLOOKUP(A360,'Product Categories for FG'!A:A,1,FALSE),"missing")</f>
        <v>2511-0361</v>
      </c>
    </row>
    <row r="361" spans="1:3" hidden="1">
      <c r="A361" s="16" t="s">
        <v>1300</v>
      </c>
      <c r="B361" s="17" t="s">
        <v>1301</v>
      </c>
      <c r="C361" s="9" t="str">
        <f>IFERROR(VLOOKUP(A361,'Product Categories for FG'!A:A,1,FALSE),"missing")</f>
        <v>2511-0362</v>
      </c>
    </row>
    <row r="362" spans="1:3" hidden="1">
      <c r="A362" s="18" t="s">
        <v>1302</v>
      </c>
      <c r="B362" s="19" t="s">
        <v>1303</v>
      </c>
      <c r="C362" s="9" t="str">
        <f>IFERROR(VLOOKUP(A362,'Product Categories for FG'!A:A,1,FALSE),"missing")</f>
        <v>2511-0363</v>
      </c>
    </row>
    <row r="363" spans="1:3" hidden="1">
      <c r="A363" s="16" t="s">
        <v>1304</v>
      </c>
      <c r="B363" s="17" t="s">
        <v>1305</v>
      </c>
      <c r="C363" s="9" t="str">
        <f>IFERROR(VLOOKUP(A363,'Product Categories for FG'!A:A,1,FALSE),"missing")</f>
        <v>2511-0364</v>
      </c>
    </row>
    <row r="364" spans="1:3" hidden="1">
      <c r="A364" s="18" t="s">
        <v>1307</v>
      </c>
      <c r="B364" s="19" t="s">
        <v>1308</v>
      </c>
      <c r="C364" s="9" t="str">
        <f>IFERROR(VLOOKUP(A364,'Product Categories for FG'!A:A,1,FALSE),"missing")</f>
        <v>2511-0365</v>
      </c>
    </row>
    <row r="365" spans="1:3" hidden="1">
      <c r="A365" s="16" t="s">
        <v>1309</v>
      </c>
      <c r="B365" s="17" t="s">
        <v>1310</v>
      </c>
      <c r="C365" s="9" t="str">
        <f>IFERROR(VLOOKUP(A365,'Product Categories for FG'!A:A,1,FALSE),"missing")</f>
        <v>2511-0367</v>
      </c>
    </row>
    <row r="366" spans="1:3">
      <c r="A366" s="18" t="s">
        <v>1488</v>
      </c>
      <c r="B366" s="19" t="s">
        <v>1454</v>
      </c>
      <c r="C366" s="9" t="str">
        <f>IFERROR(VLOOKUP(A366,'Product Categories for FG'!A:A,1,FALSE),"missing")</f>
        <v>missing</v>
      </c>
    </row>
    <row r="367" spans="1:3" hidden="1">
      <c r="A367" s="16" t="s">
        <v>1318</v>
      </c>
      <c r="B367" s="17" t="s">
        <v>1319</v>
      </c>
      <c r="C367" s="9" t="str">
        <f>IFERROR(VLOOKUP(A367,'Product Categories for FG'!A:A,1,FALSE),"missing")</f>
        <v>2511-0370</v>
      </c>
    </row>
    <row r="368" spans="1:3" hidden="1">
      <c r="A368" s="18" t="s">
        <v>1320</v>
      </c>
      <c r="B368" s="19" t="s">
        <v>1321</v>
      </c>
      <c r="C368" s="9" t="str">
        <f>IFERROR(VLOOKUP(A368,'Product Categories for FG'!A:A,1,FALSE),"missing")</f>
        <v>2511-0372</v>
      </c>
    </row>
    <row r="369" spans="1:3" hidden="1">
      <c r="A369" s="16" t="s">
        <v>1322</v>
      </c>
      <c r="B369" s="17" t="s">
        <v>1323</v>
      </c>
      <c r="C369" s="9" t="str">
        <f>IFERROR(VLOOKUP(A369,'Product Categories for FG'!A:A,1,FALSE),"missing")</f>
        <v>2511-0373</v>
      </c>
    </row>
    <row r="370" spans="1:3" hidden="1">
      <c r="A370" s="18" t="s">
        <v>1324</v>
      </c>
      <c r="B370" s="19" t="s">
        <v>1325</v>
      </c>
      <c r="C370" s="9" t="str">
        <f>IFERROR(VLOOKUP(A370,'Product Categories for FG'!A:A,1,FALSE),"missing")</f>
        <v>2511-0374</v>
      </c>
    </row>
    <row r="371" spans="1:3" hidden="1">
      <c r="A371" s="16" t="s">
        <v>1326</v>
      </c>
      <c r="B371" s="17" t="s">
        <v>1327</v>
      </c>
      <c r="C371" s="9" t="str">
        <f>IFERROR(VLOOKUP(A371,'Product Categories for FG'!A:A,1,FALSE),"missing")</f>
        <v>2511-0375</v>
      </c>
    </row>
    <row r="372" spans="1:3" hidden="1">
      <c r="A372" s="18" t="s">
        <v>1328</v>
      </c>
      <c r="B372" s="19" t="s">
        <v>1329</v>
      </c>
      <c r="C372" s="9" t="str">
        <f>IFERROR(VLOOKUP(A372,'Product Categories for FG'!A:A,1,FALSE),"missing")</f>
        <v>2511-0376</v>
      </c>
    </row>
    <row r="373" spans="1:3" hidden="1">
      <c r="A373" s="16" t="s">
        <v>1330</v>
      </c>
      <c r="B373" s="17" t="s">
        <v>1331</v>
      </c>
      <c r="C373" s="9" t="str">
        <f>IFERROR(VLOOKUP(A373,'Product Categories for FG'!A:A,1,FALSE),"missing")</f>
        <v>2511-0377</v>
      </c>
    </row>
    <row r="374" spans="1:3" hidden="1">
      <c r="A374" s="18" t="s">
        <v>1332</v>
      </c>
      <c r="B374" s="19" t="s">
        <v>1333</v>
      </c>
      <c r="C374" s="9" t="str">
        <f>IFERROR(VLOOKUP(A374,'Product Categories for FG'!A:A,1,FALSE),"missing")</f>
        <v>2511-0378</v>
      </c>
    </row>
    <row r="375" spans="1:3" hidden="1">
      <c r="A375" s="16" t="s">
        <v>1334</v>
      </c>
      <c r="B375" s="17" t="s">
        <v>1335</v>
      </c>
      <c r="C375" s="9" t="str">
        <f>IFERROR(VLOOKUP(A375,'Product Categories for FG'!A:A,1,FALSE),"missing")</f>
        <v>2511-0379</v>
      </c>
    </row>
    <row r="376" spans="1:3" hidden="1">
      <c r="A376" s="18" t="s">
        <v>1336</v>
      </c>
      <c r="B376" s="19" t="s">
        <v>1337</v>
      </c>
      <c r="C376" s="9" t="str">
        <f>IFERROR(VLOOKUP(A376,'Product Categories for FG'!A:A,1,FALSE),"missing")</f>
        <v>2511-0380</v>
      </c>
    </row>
    <row r="377" spans="1:3" hidden="1">
      <c r="A377" s="16" t="s">
        <v>1338</v>
      </c>
      <c r="B377" s="17" t="s">
        <v>1489</v>
      </c>
      <c r="C377" s="9" t="str">
        <f>IFERROR(VLOOKUP(A377,'Product Categories for FG'!A:A,1,FALSE),"missing")</f>
        <v>2511-0381</v>
      </c>
    </row>
    <row r="378" spans="1:3" hidden="1">
      <c r="A378" s="18" t="s">
        <v>1340</v>
      </c>
      <c r="B378" s="19" t="s">
        <v>1341</v>
      </c>
      <c r="C378" s="9" t="str">
        <f>IFERROR(VLOOKUP(A378,'Product Categories for FG'!A:A,1,FALSE),"missing")</f>
        <v>2511-0382</v>
      </c>
    </row>
    <row r="379" spans="1:3" hidden="1">
      <c r="A379" s="16" t="s">
        <v>1342</v>
      </c>
      <c r="B379" s="17" t="s">
        <v>1490</v>
      </c>
      <c r="C379" s="9" t="str">
        <f>IFERROR(VLOOKUP(A379,'Product Categories for FG'!A:A,1,FALSE),"missing")</f>
        <v>2511-0383</v>
      </c>
    </row>
    <row r="380" spans="1:3" hidden="1">
      <c r="A380" s="18" t="s">
        <v>1344</v>
      </c>
      <c r="B380" s="19" t="s">
        <v>1345</v>
      </c>
      <c r="C380" s="9" t="str">
        <f>IFERROR(VLOOKUP(A380,'Product Categories for FG'!A:A,1,FALSE),"missing")</f>
        <v>2511-0384</v>
      </c>
    </row>
    <row r="381" spans="1:3" hidden="1">
      <c r="A381" s="16" t="s">
        <v>1346</v>
      </c>
      <c r="B381" s="17" t="s">
        <v>1347</v>
      </c>
      <c r="C381" s="9" t="str">
        <f>IFERROR(VLOOKUP(A381,'Product Categories for FG'!A:A,1,FALSE),"missing")</f>
        <v>2511-0385</v>
      </c>
    </row>
    <row r="382" spans="1:3">
      <c r="A382" s="18" t="s">
        <v>1348</v>
      </c>
      <c r="B382" s="19" t="s">
        <v>1349</v>
      </c>
      <c r="C382" s="9" t="str">
        <f>IFERROR(VLOOKUP(A382,'Product Categories for FG'!A:A,1,FALSE),"missing")</f>
        <v>2511-0386</v>
      </c>
    </row>
    <row r="383" spans="1:3">
      <c r="A383" s="16" t="s">
        <v>1350</v>
      </c>
      <c r="B383" s="17" t="s">
        <v>1351</v>
      </c>
      <c r="C383" s="9" t="str">
        <f>IFERROR(VLOOKUP(A383,'Product Categories for FG'!A:A,1,FALSE),"missing")</f>
        <v>2511-0387</v>
      </c>
    </row>
    <row r="384" spans="1:3">
      <c r="A384" s="18" t="s">
        <v>1352</v>
      </c>
      <c r="B384" s="19" t="s">
        <v>1339</v>
      </c>
      <c r="C384" s="9" t="str">
        <f>IFERROR(VLOOKUP(A384,'Product Categories for FG'!A:A,1,FALSE),"missing")</f>
        <v>2511-0388</v>
      </c>
    </row>
    <row r="385" spans="1:3">
      <c r="A385" s="16" t="s">
        <v>1353</v>
      </c>
      <c r="B385" s="17" t="s">
        <v>1354</v>
      </c>
      <c r="C385" s="9" t="str">
        <f>IFERROR(VLOOKUP(A385,'Product Categories for FG'!A:A,1,FALSE),"missing")</f>
        <v>2511-0389</v>
      </c>
    </row>
    <row r="386" spans="1:3">
      <c r="A386" s="18" t="s">
        <v>1355</v>
      </c>
      <c r="B386" s="19" t="s">
        <v>1356</v>
      </c>
      <c r="C386" s="9" t="str">
        <f>IFERROR(VLOOKUP(A386,'Product Categories for FG'!A:A,1,FALSE),"missing")</f>
        <v>2511-0390</v>
      </c>
    </row>
    <row r="387" spans="1:3">
      <c r="A387" s="16" t="s">
        <v>1357</v>
      </c>
      <c r="B387" s="17" t="s">
        <v>1358</v>
      </c>
      <c r="C387" s="9" t="str">
        <f>IFERROR(VLOOKUP(A387,'Product Categories for FG'!A:A,1,FALSE),"missing")</f>
        <v>2511-0392</v>
      </c>
    </row>
    <row r="388" spans="1:3">
      <c r="A388" s="18" t="s">
        <v>1360</v>
      </c>
      <c r="B388" s="19" t="s">
        <v>1361</v>
      </c>
      <c r="C388" s="9" t="str">
        <f>IFERROR(VLOOKUP(A388,'Product Categories for FG'!A:A,1,FALSE),"missing")</f>
        <v>2511-0393</v>
      </c>
    </row>
    <row r="389" spans="1:3">
      <c r="A389" s="16" t="s">
        <v>1362</v>
      </c>
      <c r="B389" s="17" t="s">
        <v>1363</v>
      </c>
      <c r="C389" s="9" t="str">
        <f>IFERROR(VLOOKUP(A389,'Product Categories for FG'!A:A,1,FALSE),"missing")</f>
        <v>2511-0394</v>
      </c>
    </row>
    <row r="390" spans="1:3">
      <c r="A390" s="18" t="s">
        <v>1364</v>
      </c>
      <c r="B390" s="19" t="s">
        <v>1365</v>
      </c>
      <c r="C390" s="9" t="str">
        <f>IFERROR(VLOOKUP(A390,'Product Categories for FG'!A:A,1,FALSE),"missing")</f>
        <v>2511-0395</v>
      </c>
    </row>
    <row r="391" spans="1:3">
      <c r="A391" s="16" t="s">
        <v>1366</v>
      </c>
      <c r="B391" s="17" t="s">
        <v>1367</v>
      </c>
      <c r="C391" s="9" t="str">
        <f>IFERROR(VLOOKUP(A391,'Product Categories for FG'!A:A,1,FALSE),"missing")</f>
        <v>2511-0396</v>
      </c>
    </row>
    <row r="392" spans="1:3">
      <c r="A392" s="18" t="s">
        <v>1368</v>
      </c>
      <c r="B392" s="19" t="s">
        <v>1369</v>
      </c>
      <c r="C392" s="9" t="str">
        <f>IFERROR(VLOOKUP(A392,'Product Categories for FG'!A:A,1,FALSE),"missing")</f>
        <v>2511-0398</v>
      </c>
    </row>
    <row r="393" spans="1:3">
      <c r="A393" s="16" t="s">
        <v>1370</v>
      </c>
      <c r="B393" s="17" t="s">
        <v>1371</v>
      </c>
      <c r="C393" s="9" t="str">
        <f>IFERROR(VLOOKUP(A393,'Product Categories for FG'!A:A,1,FALSE),"missing")</f>
        <v>2511-0399</v>
      </c>
    </row>
    <row r="394" spans="1:3">
      <c r="A394" s="18" t="s">
        <v>1372</v>
      </c>
      <c r="B394" s="19" t="s">
        <v>1373</v>
      </c>
      <c r="C394" s="9" t="str">
        <f>IFERROR(VLOOKUP(A394,'Product Categories for FG'!A:A,1,FALSE),"missing")</f>
        <v>2511-0400</v>
      </c>
    </row>
    <row r="395" spans="1:3">
      <c r="A395" s="16" t="s">
        <v>1374</v>
      </c>
      <c r="B395" s="17" t="s">
        <v>1375</v>
      </c>
      <c r="C395" s="9" t="str">
        <f>IFERROR(VLOOKUP(A395,'Product Categories for FG'!A:A,1,FALSE),"missing")</f>
        <v>2511-0401</v>
      </c>
    </row>
    <row r="396" spans="1:3">
      <c r="A396" s="18" t="s">
        <v>1376</v>
      </c>
      <c r="B396" s="19" t="s">
        <v>1377</v>
      </c>
      <c r="C396" s="9" t="str">
        <f>IFERROR(VLOOKUP(A396,'Product Categories for FG'!A:A,1,FALSE),"missing")</f>
        <v>2511-0402</v>
      </c>
    </row>
    <row r="397" spans="1:3">
      <c r="A397" s="16" t="s">
        <v>1378</v>
      </c>
      <c r="B397" s="17" t="s">
        <v>1379</v>
      </c>
      <c r="C397" s="9" t="str">
        <f>IFERROR(VLOOKUP(A397,'Product Categories for FG'!A:A,1,FALSE),"missing")</f>
        <v>2511-0403</v>
      </c>
    </row>
    <row r="398" spans="1:3">
      <c r="A398" s="18" t="s">
        <v>1380</v>
      </c>
      <c r="B398" s="19" t="s">
        <v>1381</v>
      </c>
      <c r="C398" s="9" t="str">
        <f>IFERROR(VLOOKUP(A398,'Product Categories for FG'!A:A,1,FALSE),"missing")</f>
        <v>2511-0405</v>
      </c>
    </row>
    <row r="399" spans="1:3">
      <c r="A399" s="16" t="s">
        <v>1382</v>
      </c>
      <c r="B399" s="17" t="s">
        <v>1383</v>
      </c>
      <c r="C399" s="9" t="str">
        <f>IFERROR(VLOOKUP(A399,'Product Categories for FG'!A:A,1,FALSE),"missing")</f>
        <v>2511-0406</v>
      </c>
    </row>
    <row r="400" spans="1:3">
      <c r="A400" s="18" t="s">
        <v>1384</v>
      </c>
      <c r="B400" s="19" t="s">
        <v>1385</v>
      </c>
      <c r="C400" s="9" t="str">
        <f>IFERROR(VLOOKUP(A400,'Product Categories for FG'!A:A,1,FALSE),"missing")</f>
        <v>2511-0407</v>
      </c>
    </row>
    <row r="401" spans="1:3">
      <c r="A401" s="16" t="s">
        <v>1386</v>
      </c>
      <c r="B401" s="17" t="s">
        <v>1387</v>
      </c>
      <c r="C401" s="9" t="str">
        <f>IFERROR(VLOOKUP(A401,'Product Categories for FG'!A:A,1,FALSE),"missing")</f>
        <v>2511-0408</v>
      </c>
    </row>
    <row r="402" spans="1:3">
      <c r="A402" s="18" t="s">
        <v>1388</v>
      </c>
      <c r="B402" s="19" t="s">
        <v>1389</v>
      </c>
      <c r="C402" s="9" t="str">
        <f>IFERROR(VLOOKUP(A402,'Product Categories for FG'!A:A,1,FALSE),"missing")</f>
        <v>2511-0409</v>
      </c>
    </row>
    <row r="403" spans="1:3">
      <c r="A403" s="16" t="s">
        <v>1390</v>
      </c>
      <c r="B403" s="17" t="s">
        <v>1391</v>
      </c>
      <c r="C403" s="9" t="str">
        <f>IFERROR(VLOOKUP(A403,'Product Categories for FG'!A:A,1,FALSE),"missing")</f>
        <v>2511-0410</v>
      </c>
    </row>
    <row r="404" spans="1:3">
      <c r="A404" s="18" t="s">
        <v>1392</v>
      </c>
      <c r="B404" s="19" t="s">
        <v>1393</v>
      </c>
      <c r="C404" s="9" t="str">
        <f>IFERROR(VLOOKUP(A404,'Product Categories for FG'!A:A,1,FALSE),"missing")</f>
        <v>2511-0411</v>
      </c>
    </row>
    <row r="405" spans="1:3">
      <c r="A405" s="16" t="s">
        <v>1394</v>
      </c>
      <c r="B405" s="17" t="s">
        <v>1395</v>
      </c>
      <c r="C405" s="9" t="str">
        <f>IFERROR(VLOOKUP(A405,'Product Categories for FG'!A:A,1,FALSE),"missing")</f>
        <v>2511-0412</v>
      </c>
    </row>
    <row r="406" spans="1:3">
      <c r="A406" s="18" t="s">
        <v>1396</v>
      </c>
      <c r="B406" s="19" t="s">
        <v>1397</v>
      </c>
      <c r="C406" s="9" t="str">
        <f>IFERROR(VLOOKUP(A406,'Product Categories for FG'!A:A,1,FALSE),"missing")</f>
        <v>2511-0413</v>
      </c>
    </row>
    <row r="407" spans="1:3">
      <c r="A407" s="16" t="s">
        <v>1398</v>
      </c>
      <c r="B407" s="17" t="s">
        <v>1399</v>
      </c>
      <c r="C407" s="9" t="str">
        <f>IFERROR(VLOOKUP(A407,'Product Categories for FG'!A:A,1,FALSE),"missing")</f>
        <v>2511-0414</v>
      </c>
    </row>
    <row r="408" spans="1:3">
      <c r="A408" s="18" t="s">
        <v>1400</v>
      </c>
      <c r="B408" s="19" t="s">
        <v>1401</v>
      </c>
      <c r="C408" s="9" t="str">
        <f>IFERROR(VLOOKUP(A408,'Product Categories for FG'!A:A,1,FALSE),"missing")</f>
        <v>2511-0415</v>
      </c>
    </row>
    <row r="409" spans="1:3">
      <c r="A409" s="16" t="s">
        <v>1402</v>
      </c>
      <c r="B409" s="17" t="s">
        <v>1403</v>
      </c>
      <c r="C409" s="9" t="str">
        <f>IFERROR(VLOOKUP(A409,'Product Categories for FG'!A:A,1,FALSE),"missing")</f>
        <v>2511-0416</v>
      </c>
    </row>
    <row r="410" spans="1:3">
      <c r="A410" s="18" t="s">
        <v>1404</v>
      </c>
      <c r="B410" s="19" t="s">
        <v>1405</v>
      </c>
      <c r="C410" s="9" t="str">
        <f>IFERROR(VLOOKUP(A410,'Product Categories for FG'!A:A,1,FALSE),"missing")</f>
        <v>2511-0417</v>
      </c>
    </row>
    <row r="411" spans="1:3">
      <c r="A411" s="16" t="s">
        <v>1406</v>
      </c>
      <c r="B411" s="17" t="s">
        <v>1407</v>
      </c>
      <c r="C411" s="9" t="str">
        <f>IFERROR(VLOOKUP(A411,'Product Categories for FG'!A:A,1,FALSE),"missing")</f>
        <v>2511-0418</v>
      </c>
    </row>
    <row r="412" spans="1:3">
      <c r="A412" s="18" t="s">
        <v>1408</v>
      </c>
      <c r="B412" s="19" t="s">
        <v>1409</v>
      </c>
      <c r="C412" s="9" t="str">
        <f>IFERROR(VLOOKUP(A412,'Product Categories for FG'!A:A,1,FALSE),"missing")</f>
        <v>2511-0419</v>
      </c>
    </row>
    <row r="413" spans="1:3">
      <c r="A413" s="16" t="s">
        <v>1410</v>
      </c>
      <c r="B413" s="17" t="s">
        <v>1411</v>
      </c>
      <c r="C413" s="9" t="str">
        <f>IFERROR(VLOOKUP(A413,'Product Categories for FG'!A:A,1,FALSE),"missing")</f>
        <v>2511-0420</v>
      </c>
    </row>
    <row r="414" spans="1:3">
      <c r="A414" s="18" t="s">
        <v>1412</v>
      </c>
      <c r="B414" s="19" t="s">
        <v>1413</v>
      </c>
      <c r="C414" s="9" t="str">
        <f>IFERROR(VLOOKUP(A414,'Product Categories for FG'!A:A,1,FALSE),"missing")</f>
        <v>2511-0421</v>
      </c>
    </row>
    <row r="415" spans="1:3">
      <c r="A415" s="16" t="s">
        <v>1414</v>
      </c>
      <c r="B415" s="17" t="s">
        <v>1415</v>
      </c>
      <c r="C415" s="9" t="str">
        <f>IFERROR(VLOOKUP(A415,'Product Categories for FG'!A:A,1,FALSE),"missing")</f>
        <v>2511-0422</v>
      </c>
    </row>
    <row r="416" spans="1:3">
      <c r="A416" s="18" t="s">
        <v>1416</v>
      </c>
      <c r="B416" s="19" t="s">
        <v>1417</v>
      </c>
      <c r="C416" s="9" t="str">
        <f>IFERROR(VLOOKUP(A416,'Product Categories for FG'!A:A,1,FALSE),"missing")</f>
        <v>2511-0423</v>
      </c>
    </row>
    <row r="417" spans="1:3">
      <c r="A417" s="16" t="s">
        <v>1418</v>
      </c>
      <c r="B417" s="17" t="s">
        <v>1419</v>
      </c>
      <c r="C417" s="9" t="str">
        <f>IFERROR(VLOOKUP(A417,'Product Categories for FG'!A:A,1,FALSE),"missing")</f>
        <v>2511-0424</v>
      </c>
    </row>
    <row r="418" spans="1:3">
      <c r="A418" s="18" t="s">
        <v>1420</v>
      </c>
      <c r="B418" s="19" t="s">
        <v>1421</v>
      </c>
      <c r="C418" s="9" t="str">
        <f>IFERROR(VLOOKUP(A418,'Product Categories for FG'!A:A,1,FALSE),"missing")</f>
        <v>2511-0425</v>
      </c>
    </row>
    <row r="419" spans="1:3">
      <c r="A419" s="16" t="s">
        <v>1422</v>
      </c>
      <c r="B419" s="17" t="s">
        <v>1423</v>
      </c>
      <c r="C419" s="9" t="str">
        <f>IFERROR(VLOOKUP(A419,'Product Categories for FG'!A:A,1,FALSE),"missing")</f>
        <v>2511-0426</v>
      </c>
    </row>
    <row r="420" spans="1:3">
      <c r="A420" s="18" t="s">
        <v>1424</v>
      </c>
      <c r="B420" s="19" t="s">
        <v>1425</v>
      </c>
      <c r="C420" s="9" t="str">
        <f>IFERROR(VLOOKUP(A420,'Product Categories for FG'!A:A,1,FALSE),"missing")</f>
        <v>2511-0427</v>
      </c>
    </row>
    <row r="421" spans="1:3">
      <c r="A421" s="16" t="s">
        <v>1426</v>
      </c>
      <c r="B421" s="17" t="s">
        <v>1427</v>
      </c>
      <c r="C421" s="9" t="str">
        <f>IFERROR(VLOOKUP(A421,'Product Categories for FG'!A:A,1,FALSE),"missing")</f>
        <v>2511-0428</v>
      </c>
    </row>
    <row r="422" spans="1:3">
      <c r="A422" s="18" t="s">
        <v>1428</v>
      </c>
      <c r="B422" s="19" t="s">
        <v>1429</v>
      </c>
      <c r="C422" s="9" t="str">
        <f>IFERROR(VLOOKUP(A422,'Product Categories for FG'!A:A,1,FALSE),"missing")</f>
        <v>2511-0429</v>
      </c>
    </row>
    <row r="423" spans="1:3">
      <c r="A423" s="16" t="s">
        <v>1430</v>
      </c>
      <c r="B423" s="17" t="s">
        <v>1431</v>
      </c>
      <c r="C423" s="9" t="str">
        <f>IFERROR(VLOOKUP(A423,'Product Categories for FG'!A:A,1,FALSE),"missing")</f>
        <v>2511-0430</v>
      </c>
    </row>
    <row r="424" spans="1:3">
      <c r="A424" s="18" t="s">
        <v>1432</v>
      </c>
      <c r="B424" s="19" t="s">
        <v>1433</v>
      </c>
      <c r="C424" s="9" t="str">
        <f>IFERROR(VLOOKUP(A424,'Product Categories for FG'!A:A,1,FALSE),"missing")</f>
        <v>2511-0431</v>
      </c>
    </row>
    <row r="425" spans="1:3">
      <c r="A425" s="16" t="s">
        <v>1434</v>
      </c>
      <c r="B425" s="17" t="s">
        <v>1435</v>
      </c>
      <c r="C425" s="9" t="str">
        <f>IFERROR(VLOOKUP(A425,'Product Categories for FG'!A:A,1,FALSE),"missing")</f>
        <v>2511-0432</v>
      </c>
    </row>
    <row r="426" spans="1:3">
      <c r="A426" s="18" t="s">
        <v>1436</v>
      </c>
      <c r="B426" s="19" t="s">
        <v>1437</v>
      </c>
      <c r="C426" s="9" t="str">
        <f>IFERROR(VLOOKUP(A426,'Product Categories for FG'!A:A,1,FALSE),"missing")</f>
        <v>2511-0433</v>
      </c>
    </row>
    <row r="427" spans="1:3">
      <c r="A427" s="16" t="s">
        <v>1438</v>
      </c>
      <c r="B427" s="17" t="s">
        <v>1439</v>
      </c>
      <c r="C427" s="9" t="str">
        <f>IFERROR(VLOOKUP(A427,'Product Categories for FG'!A:A,1,FALSE),"missing")</f>
        <v>2511-0434</v>
      </c>
    </row>
    <row r="428" spans="1:3">
      <c r="A428" s="18" t="s">
        <v>1440</v>
      </c>
      <c r="B428" s="19" t="s">
        <v>1441</v>
      </c>
      <c r="C428" s="9" t="str">
        <f>IFERROR(VLOOKUP(A428,'Product Categories for FG'!A:A,1,FALSE),"missing")</f>
        <v>2511-0437</v>
      </c>
    </row>
    <row r="429" spans="1:3">
      <c r="A429" s="16" t="s">
        <v>1442</v>
      </c>
      <c r="B429" s="17" t="s">
        <v>1443</v>
      </c>
      <c r="C429" s="9" t="str">
        <f>IFERROR(VLOOKUP(A429,'Product Categories for FG'!A:A,1,FALSE),"missing")</f>
        <v>2511-0438</v>
      </c>
    </row>
    <row r="430" spans="1:3">
      <c r="C430" s="9" t="str">
        <f>IFERROR(VLOOKUP(A430,'Product Categories for FG'!A:A,1,FALSE),"missing")</f>
        <v>missing</v>
      </c>
    </row>
    <row r="431" spans="1:3">
      <c r="C431" s="9" t="str">
        <f>IFERROR(VLOOKUP(A431,'Product Categories for FG'!A:A,1,FALSE),"missing")</f>
        <v>missing</v>
      </c>
    </row>
    <row r="432" spans="1:3">
      <c r="C432" s="9" t="str">
        <f>IFERROR(VLOOKUP(A432,'Product Categories for FG'!A:A,1,FALSE),"missing")</f>
        <v>missing</v>
      </c>
    </row>
    <row r="433" spans="3:3">
      <c r="C433" s="9" t="str">
        <f>IFERROR(VLOOKUP(A433,'Product Categories for FG'!A:A,1,FALSE),"missing")</f>
        <v>missing</v>
      </c>
    </row>
    <row r="434" spans="3:3">
      <c r="C434" s="9" t="str">
        <f>IFERROR(VLOOKUP(A434,'Product Categories for FG'!A:A,1,FALSE),"missing")</f>
        <v>missing</v>
      </c>
    </row>
    <row r="435" spans="3:3">
      <c r="C435" s="9" t="str">
        <f>IFERROR(VLOOKUP(A435,'Product Categories for FG'!A:A,1,FALSE),"missing")</f>
        <v>missing</v>
      </c>
    </row>
    <row r="436" spans="3:3">
      <c r="C436" s="9" t="str">
        <f>IFERROR(VLOOKUP(A436,'Product Categories for FG'!A:A,1,FALSE),"missing")</f>
        <v>missing</v>
      </c>
    </row>
    <row r="437" spans="3:3">
      <c r="C437" s="9" t="str">
        <f>IFERROR(VLOOKUP(A437,'Product Categories for FG'!A:A,1,FALSE),"missing")</f>
        <v>missing</v>
      </c>
    </row>
    <row r="438" spans="3:3">
      <c r="C438" s="9" t="str">
        <f>IFERROR(VLOOKUP(A438,'Product Categories for FG'!A:A,1,FALSE),"missing")</f>
        <v>missing</v>
      </c>
    </row>
    <row r="439" spans="3:3">
      <c r="C439" s="9" t="str">
        <f>IFERROR(VLOOKUP(A439,'Product Categories for FG'!A:A,1,FALSE),"missing")</f>
        <v>missing</v>
      </c>
    </row>
    <row r="440" spans="3:3">
      <c r="C440" s="9" t="str">
        <f>IFERROR(VLOOKUP(A440,'Product Categories for FG'!A:A,1,FALSE),"missing")</f>
        <v>missing</v>
      </c>
    </row>
    <row r="441" spans="3:3">
      <c r="C441" s="9" t="str">
        <f>IFERROR(VLOOKUP(A441,'Product Categories for FG'!A:A,1,FALSE),"missing")</f>
        <v>missing</v>
      </c>
    </row>
    <row r="442" spans="3:3">
      <c r="C442" s="9" t="str">
        <f>IFERROR(VLOOKUP(A442,'Product Categories for FG'!A:A,1,FALSE),"missing")</f>
        <v>missing</v>
      </c>
    </row>
  </sheetData>
  <autoFilter ref="A1:C442" xr:uid="{CCDD731A-188B-4E5C-A632-B4BC0043D332}">
    <filterColumn colId="2">
      <filters>
        <filter val="missing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BD55-5366-4422-97EF-177AC765675C}">
  <dimension ref="A1:B3"/>
  <sheetViews>
    <sheetView workbookViewId="0">
      <selection activeCell="R6" sqref="R6"/>
    </sheetView>
  </sheetViews>
  <sheetFormatPr defaultRowHeight="15"/>
  <cols>
    <col min="1" max="1" width="20.7109375" bestFit="1" customWidth="1"/>
    <col min="2" max="2" width="22" customWidth="1"/>
  </cols>
  <sheetData>
    <row r="1" spans="1:2">
      <c r="A1" t="s">
        <v>1491</v>
      </c>
      <c r="B1" t="s">
        <v>1492</v>
      </c>
    </row>
    <row r="2" spans="1:2">
      <c r="A2" t="s">
        <v>1493</v>
      </c>
      <c r="B2">
        <v>1</v>
      </c>
    </row>
    <row r="3" spans="1:2">
      <c r="A3" t="s">
        <v>1494</v>
      </c>
      <c r="B3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2023-10-18T05:24:37Z</dcterms:created>
  <dcterms:modified xsi:type="dcterms:W3CDTF">2025-12-03T09:59:16Z</dcterms:modified>
  <cp:category/>
  <cp:contentStatus/>
</cp:coreProperties>
</file>